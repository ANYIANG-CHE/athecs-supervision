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wy1\Documents\"/>
    </mc:Choice>
  </mc:AlternateContent>
  <xr:revisionPtr revIDLastSave="0" documentId="8_{735F2570-0DFA-4E7D-8F7F-E666F5FDEED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OP" sheetId="1" r:id="rId1"/>
    <sheet name="Facility_Profile" sheetId="2" r:id="rId2"/>
    <sheet name="Checklist" sheetId="4" r:id="rId3"/>
    <sheet name="Readiness_Dashboard" sheetId="3" r:id="rId4"/>
    <sheet name="Staff_Training" sheetId="6" r:id="rId5"/>
    <sheet name="Tracer_Commodities" sheetId="7" r:id="rId6"/>
    <sheet name="Action_Plan" sheetId="5" r:id="rId7"/>
    <sheet name="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" l="1"/>
  <c r="I9" i="7"/>
  <c r="I8" i="7"/>
  <c r="I7" i="7"/>
  <c r="I6" i="7"/>
  <c r="I5" i="7"/>
  <c r="I13" i="6"/>
  <c r="I12" i="6"/>
  <c r="I11" i="6"/>
  <c r="I10" i="6"/>
  <c r="I9" i="6"/>
  <c r="I8" i="6"/>
  <c r="I7" i="6"/>
  <c r="I6" i="6"/>
  <c r="P149" i="4"/>
  <c r="O149" i="4"/>
  <c r="N149" i="4"/>
  <c r="M149" i="4"/>
  <c r="L149" i="4"/>
  <c r="K149" i="4"/>
  <c r="J149" i="4"/>
  <c r="P148" i="4"/>
  <c r="O148" i="4"/>
  <c r="N148" i="4"/>
  <c r="M148" i="4"/>
  <c r="L148" i="4"/>
  <c r="K148" i="4"/>
  <c r="J148" i="4"/>
  <c r="P147" i="4"/>
  <c r="O147" i="4"/>
  <c r="N147" i="4"/>
  <c r="M147" i="4"/>
  <c r="L147" i="4"/>
  <c r="K147" i="4"/>
  <c r="J147" i="4"/>
  <c r="P146" i="4"/>
  <c r="O146" i="4"/>
  <c r="N146" i="4"/>
  <c r="M146" i="4"/>
  <c r="L146" i="4"/>
  <c r="K146" i="4"/>
  <c r="J146" i="4"/>
  <c r="P145" i="4"/>
  <c r="O145" i="4"/>
  <c r="N145" i="4"/>
  <c r="M145" i="4"/>
  <c r="L145" i="4"/>
  <c r="K145" i="4"/>
  <c r="J145" i="4"/>
  <c r="P144" i="4"/>
  <c r="O144" i="4"/>
  <c r="N144" i="4"/>
  <c r="M144" i="4"/>
  <c r="L144" i="4"/>
  <c r="K144" i="4"/>
  <c r="J144" i="4"/>
  <c r="P143" i="4"/>
  <c r="O143" i="4"/>
  <c r="N143" i="4"/>
  <c r="M143" i="4"/>
  <c r="L143" i="4"/>
  <c r="K143" i="4"/>
  <c r="J143" i="4"/>
  <c r="P142" i="4"/>
  <c r="O142" i="4"/>
  <c r="N142" i="4"/>
  <c r="M142" i="4"/>
  <c r="L142" i="4"/>
  <c r="K142" i="4"/>
  <c r="J142" i="4"/>
  <c r="P141" i="4"/>
  <c r="O141" i="4"/>
  <c r="N141" i="4"/>
  <c r="M141" i="4"/>
  <c r="L141" i="4"/>
  <c r="K141" i="4"/>
  <c r="J141" i="4"/>
  <c r="P140" i="4"/>
  <c r="O140" i="4"/>
  <c r="N140" i="4"/>
  <c r="M140" i="4"/>
  <c r="L140" i="4"/>
  <c r="K140" i="4"/>
  <c r="J140" i="4"/>
  <c r="P139" i="4"/>
  <c r="O139" i="4"/>
  <c r="N139" i="4"/>
  <c r="M139" i="4"/>
  <c r="L139" i="4"/>
  <c r="K139" i="4"/>
  <c r="J139" i="4"/>
  <c r="P138" i="4"/>
  <c r="O138" i="4"/>
  <c r="N138" i="4"/>
  <c r="M138" i="4"/>
  <c r="L138" i="4"/>
  <c r="K138" i="4"/>
  <c r="J138" i="4"/>
  <c r="P137" i="4"/>
  <c r="O137" i="4"/>
  <c r="N137" i="4"/>
  <c r="M137" i="4"/>
  <c r="L137" i="4"/>
  <c r="K137" i="4"/>
  <c r="J137" i="4"/>
  <c r="P136" i="4"/>
  <c r="O136" i="4"/>
  <c r="N136" i="4"/>
  <c r="M136" i="4"/>
  <c r="L136" i="4"/>
  <c r="K136" i="4"/>
  <c r="J136" i="4"/>
  <c r="P135" i="4"/>
  <c r="O135" i="4"/>
  <c r="N135" i="4"/>
  <c r="M135" i="4"/>
  <c r="L135" i="4"/>
  <c r="K135" i="4"/>
  <c r="J135" i="4"/>
  <c r="P134" i="4"/>
  <c r="O134" i="4"/>
  <c r="N134" i="4"/>
  <c r="M134" i="4"/>
  <c r="L134" i="4"/>
  <c r="K134" i="4"/>
  <c r="J134" i="4"/>
  <c r="P133" i="4"/>
  <c r="O133" i="4"/>
  <c r="N133" i="4"/>
  <c r="M133" i="4"/>
  <c r="L133" i="4"/>
  <c r="K133" i="4"/>
  <c r="J133" i="4"/>
  <c r="P132" i="4"/>
  <c r="O132" i="4"/>
  <c r="N132" i="4"/>
  <c r="M132" i="4"/>
  <c r="L132" i="4"/>
  <c r="K132" i="4"/>
  <c r="J132" i="4"/>
  <c r="P131" i="4"/>
  <c r="O131" i="4"/>
  <c r="N131" i="4"/>
  <c r="M131" i="4"/>
  <c r="L131" i="4"/>
  <c r="K131" i="4"/>
  <c r="J131" i="4"/>
  <c r="P130" i="4"/>
  <c r="O130" i="4"/>
  <c r="N130" i="4"/>
  <c r="M130" i="4"/>
  <c r="L130" i="4"/>
  <c r="K130" i="4"/>
  <c r="J130" i="4"/>
  <c r="P129" i="4"/>
  <c r="O129" i="4"/>
  <c r="N129" i="4"/>
  <c r="M129" i="4"/>
  <c r="L129" i="4"/>
  <c r="K129" i="4"/>
  <c r="J129" i="4"/>
  <c r="P128" i="4"/>
  <c r="O128" i="4"/>
  <c r="N128" i="4"/>
  <c r="M128" i="4"/>
  <c r="L128" i="4"/>
  <c r="K128" i="4"/>
  <c r="J128" i="4"/>
  <c r="P127" i="4"/>
  <c r="O127" i="4"/>
  <c r="N127" i="4"/>
  <c r="M127" i="4"/>
  <c r="L127" i="4"/>
  <c r="K127" i="4"/>
  <c r="J127" i="4"/>
  <c r="P126" i="4"/>
  <c r="O126" i="4"/>
  <c r="N126" i="4"/>
  <c r="M126" i="4"/>
  <c r="L126" i="4"/>
  <c r="K126" i="4"/>
  <c r="J126" i="4"/>
  <c r="P125" i="4"/>
  <c r="O125" i="4"/>
  <c r="N125" i="4"/>
  <c r="M125" i="4"/>
  <c r="L125" i="4"/>
  <c r="K125" i="4"/>
  <c r="J125" i="4"/>
  <c r="P124" i="4"/>
  <c r="O124" i="4"/>
  <c r="N124" i="4"/>
  <c r="M124" i="4"/>
  <c r="L124" i="4"/>
  <c r="K124" i="4"/>
  <c r="J124" i="4"/>
  <c r="P123" i="4"/>
  <c r="O123" i="4"/>
  <c r="N123" i="4"/>
  <c r="M123" i="4"/>
  <c r="L123" i="4"/>
  <c r="K123" i="4"/>
  <c r="J123" i="4"/>
  <c r="P122" i="4"/>
  <c r="O122" i="4"/>
  <c r="N122" i="4"/>
  <c r="M122" i="4"/>
  <c r="L122" i="4"/>
  <c r="K122" i="4"/>
  <c r="J122" i="4"/>
  <c r="P121" i="4"/>
  <c r="O121" i="4"/>
  <c r="N121" i="4"/>
  <c r="M121" i="4"/>
  <c r="L121" i="4"/>
  <c r="K121" i="4"/>
  <c r="J121" i="4"/>
  <c r="P120" i="4"/>
  <c r="O120" i="4"/>
  <c r="N120" i="4"/>
  <c r="M120" i="4"/>
  <c r="L120" i="4"/>
  <c r="K120" i="4"/>
  <c r="J120" i="4"/>
  <c r="P119" i="4"/>
  <c r="O119" i="4"/>
  <c r="N119" i="4"/>
  <c r="M119" i="4"/>
  <c r="L119" i="4"/>
  <c r="K119" i="4"/>
  <c r="J119" i="4"/>
  <c r="P118" i="4"/>
  <c r="O118" i="4"/>
  <c r="N118" i="4"/>
  <c r="M118" i="4"/>
  <c r="L118" i="4"/>
  <c r="K118" i="4"/>
  <c r="J118" i="4"/>
  <c r="P117" i="4"/>
  <c r="O117" i="4"/>
  <c r="N117" i="4"/>
  <c r="M117" i="4"/>
  <c r="L117" i="4"/>
  <c r="K117" i="4"/>
  <c r="J117" i="4"/>
  <c r="P116" i="4"/>
  <c r="O116" i="4"/>
  <c r="N116" i="4"/>
  <c r="M116" i="4"/>
  <c r="L116" i="4"/>
  <c r="K116" i="4"/>
  <c r="J116" i="4"/>
  <c r="P115" i="4"/>
  <c r="O115" i="4"/>
  <c r="N115" i="4"/>
  <c r="M115" i="4"/>
  <c r="L115" i="4"/>
  <c r="K115" i="4"/>
  <c r="J115" i="4"/>
  <c r="P114" i="4"/>
  <c r="O114" i="4"/>
  <c r="N114" i="4"/>
  <c r="M114" i="4"/>
  <c r="L114" i="4"/>
  <c r="K114" i="4"/>
  <c r="J114" i="4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M83" i="4"/>
  <c r="L83" i="4"/>
  <c r="F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P77" i="4"/>
  <c r="O77" i="4"/>
  <c r="N77" i="4"/>
  <c r="M77" i="4"/>
  <c r="L77" i="4"/>
  <c r="K77" i="4"/>
  <c r="J77" i="4"/>
  <c r="P76" i="4"/>
  <c r="O76" i="4"/>
  <c r="M76" i="4"/>
  <c r="L76" i="4"/>
  <c r="F76" i="4"/>
  <c r="P75" i="4"/>
  <c r="O75" i="4"/>
  <c r="N75" i="4"/>
  <c r="M75" i="4"/>
  <c r="L75" i="4"/>
  <c r="K75" i="4"/>
  <c r="J75" i="4"/>
  <c r="P74" i="4"/>
  <c r="O74" i="4"/>
  <c r="N74" i="4"/>
  <c r="M74" i="4"/>
  <c r="L74" i="4"/>
  <c r="K74" i="4"/>
  <c r="J74" i="4"/>
  <c r="P73" i="4"/>
  <c r="O73" i="4"/>
  <c r="N73" i="4"/>
  <c r="M73" i="4"/>
  <c r="L73" i="4"/>
  <c r="K73" i="4"/>
  <c r="J73" i="4"/>
  <c r="P72" i="4"/>
  <c r="O72" i="4"/>
  <c r="N72" i="4"/>
  <c r="M72" i="4"/>
  <c r="L72" i="4"/>
  <c r="K72" i="4"/>
  <c r="J72" i="4"/>
  <c r="P71" i="4"/>
  <c r="O71" i="4"/>
  <c r="N71" i="4"/>
  <c r="M71" i="4"/>
  <c r="L71" i="4"/>
  <c r="K71" i="4"/>
  <c r="J71" i="4"/>
  <c r="P70" i="4"/>
  <c r="O70" i="4"/>
  <c r="N70" i="4"/>
  <c r="M70" i="4"/>
  <c r="L70" i="4"/>
  <c r="K70" i="4"/>
  <c r="J70" i="4"/>
  <c r="P69" i="4"/>
  <c r="O69" i="4"/>
  <c r="M69" i="4"/>
  <c r="L69" i="4"/>
  <c r="F69" i="4"/>
  <c r="P68" i="4"/>
  <c r="O68" i="4"/>
  <c r="N68" i="4"/>
  <c r="M68" i="4"/>
  <c r="L68" i="4"/>
  <c r="K68" i="4"/>
  <c r="J68" i="4"/>
  <c r="P67" i="4"/>
  <c r="O67" i="4"/>
  <c r="N67" i="4"/>
  <c r="M67" i="4"/>
  <c r="L67" i="4"/>
  <c r="K67" i="4"/>
  <c r="J67" i="4"/>
  <c r="P66" i="4"/>
  <c r="O66" i="4"/>
  <c r="N66" i="4"/>
  <c r="M66" i="4"/>
  <c r="L66" i="4"/>
  <c r="K66" i="4"/>
  <c r="J66" i="4"/>
  <c r="P65" i="4"/>
  <c r="O65" i="4"/>
  <c r="N65" i="4"/>
  <c r="M65" i="4"/>
  <c r="L65" i="4"/>
  <c r="K65" i="4"/>
  <c r="J65" i="4"/>
  <c r="P64" i="4"/>
  <c r="O64" i="4"/>
  <c r="N64" i="4"/>
  <c r="M64" i="4"/>
  <c r="L64" i="4"/>
  <c r="K64" i="4"/>
  <c r="J64" i="4"/>
  <c r="P63" i="4"/>
  <c r="O63" i="4"/>
  <c r="N63" i="4"/>
  <c r="M63" i="4"/>
  <c r="L63" i="4"/>
  <c r="K63" i="4"/>
  <c r="J63" i="4"/>
  <c r="P62" i="4"/>
  <c r="O62" i="4"/>
  <c r="M62" i="4"/>
  <c r="L62" i="4"/>
  <c r="F62" i="4"/>
  <c r="P61" i="4"/>
  <c r="O61" i="4"/>
  <c r="N61" i="4"/>
  <c r="M61" i="4"/>
  <c r="L61" i="4"/>
  <c r="K61" i="4"/>
  <c r="J61" i="4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M55" i="4"/>
  <c r="L55" i="4"/>
  <c r="F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M48" i="4"/>
  <c r="L48" i="4"/>
  <c r="F48" i="4"/>
  <c r="P50" i="4" s="1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P19" i="4"/>
  <c r="O19" i="4"/>
  <c r="N19" i="4"/>
  <c r="M19" i="4"/>
  <c r="L19" i="4"/>
  <c r="K19" i="4"/>
  <c r="J19" i="4"/>
  <c r="P18" i="4"/>
  <c r="O18" i="4"/>
  <c r="N18" i="4"/>
  <c r="M18" i="4"/>
  <c r="L18" i="4"/>
  <c r="K18" i="4"/>
  <c r="J18" i="4"/>
  <c r="P17" i="4"/>
  <c r="O17" i="4"/>
  <c r="N17" i="4"/>
  <c r="M17" i="4"/>
  <c r="L17" i="4"/>
  <c r="K17" i="4"/>
  <c r="J17" i="4"/>
  <c r="P16" i="4"/>
  <c r="O16" i="4"/>
  <c r="N16" i="4"/>
  <c r="M16" i="4"/>
  <c r="L16" i="4"/>
  <c r="K16" i="4"/>
  <c r="J16" i="4"/>
  <c r="P15" i="4"/>
  <c r="O15" i="4"/>
  <c r="N15" i="4"/>
  <c r="M15" i="4"/>
  <c r="L15" i="4"/>
  <c r="K15" i="4"/>
  <c r="J15" i="4"/>
  <c r="P14" i="4"/>
  <c r="O14" i="4"/>
  <c r="N14" i="4"/>
  <c r="M14" i="4"/>
  <c r="L14" i="4"/>
  <c r="K14" i="4"/>
  <c r="J14" i="4"/>
  <c r="P13" i="4"/>
  <c r="O13" i="4"/>
  <c r="N13" i="4"/>
  <c r="M13" i="4"/>
  <c r="L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P4" i="4"/>
  <c r="O4" i="4"/>
  <c r="N4" i="4"/>
  <c r="M4" i="4"/>
  <c r="L4" i="4"/>
  <c r="K4" i="4"/>
  <c r="J4" i="4"/>
  <c r="P3" i="4"/>
  <c r="O3" i="4"/>
  <c r="N3" i="4"/>
  <c r="M3" i="4"/>
  <c r="L3" i="4"/>
  <c r="K3" i="4"/>
  <c r="J3" i="4"/>
  <c r="L31" i="3"/>
  <c r="K31" i="3"/>
  <c r="G31" i="3"/>
  <c r="F31" i="3"/>
  <c r="E31" i="3"/>
  <c r="D31" i="3"/>
  <c r="L30" i="3"/>
  <c r="K30" i="3"/>
  <c r="G30" i="3"/>
  <c r="F30" i="3"/>
  <c r="E30" i="3"/>
  <c r="D30" i="3"/>
  <c r="L29" i="3"/>
  <c r="K29" i="3"/>
  <c r="G29" i="3"/>
  <c r="F29" i="3"/>
  <c r="E29" i="3"/>
  <c r="D29" i="3"/>
  <c r="L28" i="3"/>
  <c r="K28" i="3"/>
  <c r="G28" i="3"/>
  <c r="F28" i="3"/>
  <c r="E28" i="3"/>
  <c r="D28" i="3"/>
  <c r="L27" i="3"/>
  <c r="K27" i="3"/>
  <c r="G27" i="3"/>
  <c r="F27" i="3"/>
  <c r="E27" i="3"/>
  <c r="D27" i="3"/>
  <c r="L26" i="3"/>
  <c r="K26" i="3"/>
  <c r="G26" i="3"/>
  <c r="F26" i="3"/>
  <c r="E26" i="3"/>
  <c r="D26" i="3"/>
  <c r="L25" i="3"/>
  <c r="K25" i="3"/>
  <c r="G25" i="3"/>
  <c r="F25" i="3"/>
  <c r="E25" i="3"/>
  <c r="D25" i="3"/>
  <c r="L24" i="3"/>
  <c r="K24" i="3"/>
  <c r="G24" i="3"/>
  <c r="F24" i="3"/>
  <c r="E24" i="3"/>
  <c r="D24" i="3"/>
  <c r="L23" i="3"/>
  <c r="K23" i="3"/>
  <c r="G23" i="3"/>
  <c r="F23" i="3"/>
  <c r="E23" i="3"/>
  <c r="D23" i="3"/>
  <c r="L21" i="3"/>
  <c r="K21" i="3"/>
  <c r="G21" i="3"/>
  <c r="F21" i="3"/>
  <c r="E21" i="3"/>
  <c r="D21" i="3"/>
  <c r="L20" i="3"/>
  <c r="K20" i="3"/>
  <c r="G20" i="3"/>
  <c r="F20" i="3"/>
  <c r="E20" i="3"/>
  <c r="D20" i="3"/>
  <c r="L19" i="3"/>
  <c r="K19" i="3"/>
  <c r="G19" i="3"/>
  <c r="F19" i="3"/>
  <c r="E19" i="3"/>
  <c r="D19" i="3"/>
  <c r="L18" i="3"/>
  <c r="K18" i="3"/>
  <c r="G18" i="3"/>
  <c r="F18" i="3"/>
  <c r="E18" i="3"/>
  <c r="D18" i="3"/>
  <c r="L17" i="3"/>
  <c r="K17" i="3"/>
  <c r="G17" i="3"/>
  <c r="F17" i="3"/>
  <c r="E17" i="3"/>
  <c r="D17" i="3"/>
  <c r="L16" i="3"/>
  <c r="K16" i="3"/>
  <c r="G16" i="3"/>
  <c r="F16" i="3"/>
  <c r="E16" i="3"/>
  <c r="D16" i="3"/>
  <c r="B26" i="2"/>
  <c r="Q94" i="4" l="1"/>
  <c r="Q106" i="4"/>
  <c r="Q125" i="4"/>
  <c r="Q137" i="4"/>
  <c r="Q149" i="4"/>
  <c r="Q50" i="4"/>
  <c r="Q147" i="4"/>
  <c r="Q130" i="4"/>
  <c r="Q142" i="4"/>
  <c r="Q96" i="4"/>
  <c r="Q132" i="4"/>
  <c r="Q144" i="4"/>
  <c r="Q75" i="4"/>
  <c r="Q77" i="4"/>
  <c r="Q91" i="4"/>
  <c r="Q93" i="4"/>
  <c r="Q117" i="4"/>
  <c r="Q6" i="4"/>
  <c r="Q18" i="4"/>
  <c r="Q30" i="4"/>
  <c r="Q42" i="4"/>
  <c r="Q58" i="4"/>
  <c r="Q114" i="4"/>
  <c r="Q54" i="4"/>
  <c r="Q56" i="4"/>
  <c r="Q72" i="4"/>
  <c r="Q136" i="4"/>
  <c r="Q3" i="4"/>
  <c r="Q15" i="4"/>
  <c r="Q128" i="4"/>
  <c r="Q14" i="4"/>
  <c r="Q26" i="4"/>
  <c r="Q122" i="4"/>
  <c r="Q107" i="4"/>
  <c r="Q119" i="4"/>
  <c r="Q131" i="4"/>
  <c r="Q37" i="4"/>
  <c r="Q97" i="4"/>
  <c r="Q59" i="4"/>
  <c r="Q35" i="4"/>
  <c r="Q47" i="4"/>
  <c r="Q81" i="4"/>
  <c r="Q112" i="4"/>
  <c r="Q124" i="4"/>
  <c r="Q129" i="4"/>
  <c r="Q60" i="4"/>
  <c r="L22" i="3"/>
  <c r="L32" i="3" s="1"/>
  <c r="Q78" i="4"/>
  <c r="Q92" i="4"/>
  <c r="Q53" i="4"/>
  <c r="Q17" i="4"/>
  <c r="Q73" i="4"/>
  <c r="Q89" i="4"/>
  <c r="Q145" i="4"/>
  <c r="Q12" i="4"/>
  <c r="Q41" i="4"/>
  <c r="Q46" i="4"/>
  <c r="Q104" i="4"/>
  <c r="Q141" i="4"/>
  <c r="Q146" i="4"/>
  <c r="Q116" i="4"/>
  <c r="Q66" i="4"/>
  <c r="Q101" i="4"/>
  <c r="Q33" i="4"/>
  <c r="Q103" i="4"/>
  <c r="Q108" i="4"/>
  <c r="Q67" i="4"/>
  <c r="Q39" i="4"/>
  <c r="Q19" i="4"/>
  <c r="Q24" i="4"/>
  <c r="Q36" i="4"/>
  <c r="C25" i="3"/>
  <c r="H25" i="3" s="1"/>
  <c r="M25" i="3" s="1"/>
  <c r="K22" i="3"/>
  <c r="K32" i="3" s="1"/>
  <c r="B8" i="3" s="1"/>
  <c r="E24" i="2" s="1"/>
  <c r="Q64" i="4"/>
  <c r="C17" i="3"/>
  <c r="H17" i="3" s="1"/>
  <c r="M17" i="3" s="1"/>
  <c r="Q134" i="4"/>
  <c r="Q52" i="4"/>
  <c r="Q11" i="4"/>
  <c r="Q68" i="4"/>
  <c r="Q82" i="4"/>
  <c r="Q84" i="4"/>
  <c r="Q99" i="4"/>
  <c r="Q148" i="4"/>
  <c r="Q63" i="4"/>
  <c r="Q32" i="4"/>
  <c r="Q21" i="4"/>
  <c r="K62" i="4"/>
  <c r="K83" i="4"/>
  <c r="E22" i="3"/>
  <c r="E32" i="3" s="1"/>
  <c r="AB37" i="3" s="1"/>
  <c r="I24" i="3"/>
  <c r="J24" i="3" s="1"/>
  <c r="I28" i="3"/>
  <c r="J28" i="3" s="1"/>
  <c r="Q23" i="4"/>
  <c r="Q28" i="4"/>
  <c r="Q38" i="4"/>
  <c r="Q43" i="4"/>
  <c r="N55" i="4"/>
  <c r="N69" i="4"/>
  <c r="N76" i="4"/>
  <c r="Q79" i="4"/>
  <c r="Q109" i="4"/>
  <c r="Q139" i="4"/>
  <c r="F22" i="3"/>
  <c r="F32" i="3" s="1"/>
  <c r="AB38" i="3" s="1"/>
  <c r="Q8" i="4"/>
  <c r="J55" i="4"/>
  <c r="Q74" i="4"/>
  <c r="Q86" i="4"/>
  <c r="Q111" i="4"/>
  <c r="C27" i="3"/>
  <c r="H27" i="3" s="1"/>
  <c r="M27" i="3" s="1"/>
  <c r="Q121" i="4"/>
  <c r="C28" i="3"/>
  <c r="H28" i="3" s="1"/>
  <c r="M28" i="3" s="1"/>
  <c r="Q126" i="4"/>
  <c r="A131" i="5"/>
  <c r="F131" i="5" s="1"/>
  <c r="Q9" i="4"/>
  <c r="Q70" i="4"/>
  <c r="Q87" i="4"/>
  <c r="Q127" i="4"/>
  <c r="J62" i="4"/>
  <c r="Q102" i="4"/>
  <c r="G22" i="3"/>
  <c r="G32" i="3" s="1"/>
  <c r="A143" i="5"/>
  <c r="D143" i="5" s="1"/>
  <c r="N83" i="4"/>
  <c r="Q5" i="4"/>
  <c r="Q10" i="4"/>
  <c r="Q20" i="4"/>
  <c r="Q25" i="4"/>
  <c r="Q45" i="4"/>
  <c r="Q88" i="4"/>
  <c r="Q113" i="4"/>
  <c r="Q118" i="4"/>
  <c r="Q123" i="4"/>
  <c r="C30" i="3"/>
  <c r="H30" i="3" s="1"/>
  <c r="M30" i="3" s="1"/>
  <c r="C29" i="3"/>
  <c r="H29" i="3" s="1"/>
  <c r="M29" i="3" s="1"/>
  <c r="K48" i="4"/>
  <c r="C23" i="3"/>
  <c r="H23" i="3" s="1"/>
  <c r="M23" i="3" s="1"/>
  <c r="Q98" i="4"/>
  <c r="Q115" i="4"/>
  <c r="Q133" i="4"/>
  <c r="Q138" i="4"/>
  <c r="I27" i="3"/>
  <c r="J27" i="3" s="1"/>
  <c r="I29" i="3"/>
  <c r="J29" i="3" s="1"/>
  <c r="Q7" i="4"/>
  <c r="Q27" i="4"/>
  <c r="J83" i="4"/>
  <c r="Q90" i="4"/>
  <c r="Q120" i="4"/>
  <c r="Q29" i="4"/>
  <c r="Q44" i="4"/>
  <c r="J48" i="4"/>
  <c r="Q61" i="4"/>
  <c r="K76" i="4"/>
  <c r="Q95" i="4"/>
  <c r="Q100" i="4"/>
  <c r="Q135" i="4"/>
  <c r="Q140" i="4"/>
  <c r="Q57" i="4"/>
  <c r="A8" i="5"/>
  <c r="A12" i="5"/>
  <c r="A62" i="5"/>
  <c r="Q65" i="4"/>
  <c r="C24" i="3"/>
  <c r="H24" i="3" s="1"/>
  <c r="M24" i="3" s="1"/>
  <c r="A17" i="5"/>
  <c r="A33" i="5"/>
  <c r="I30" i="3"/>
  <c r="Q16" i="4"/>
  <c r="Q34" i="4"/>
  <c r="Q51" i="4"/>
  <c r="D22" i="3"/>
  <c r="D32" i="3" s="1"/>
  <c r="Q143" i="4"/>
  <c r="A68" i="5"/>
  <c r="A87" i="5"/>
  <c r="A121" i="5"/>
  <c r="A128" i="5"/>
  <c r="A135" i="5"/>
  <c r="I25" i="3"/>
  <c r="C16" i="3"/>
  <c r="C21" i="3"/>
  <c r="H21" i="3" s="1"/>
  <c r="M21" i="3" s="1"/>
  <c r="J69" i="4"/>
  <c r="Q71" i="4"/>
  <c r="C26" i="3"/>
  <c r="H26" i="3" s="1"/>
  <c r="M26" i="3" s="1"/>
  <c r="A75" i="5"/>
  <c r="A129" i="5"/>
  <c r="A136" i="5"/>
  <c r="A89" i="5"/>
  <c r="A73" i="5"/>
  <c r="A61" i="5"/>
  <c r="A32" i="5"/>
  <c r="A24" i="5"/>
  <c r="A16" i="5"/>
  <c r="A144" i="5"/>
  <c r="A137" i="5"/>
  <c r="A119" i="5"/>
  <c r="A112" i="5"/>
  <c r="A105" i="5"/>
  <c r="A95" i="5"/>
  <c r="A79" i="5"/>
  <c r="A52" i="5"/>
  <c r="Q13" i="4"/>
  <c r="Q31" i="4"/>
  <c r="Q49" i="4"/>
  <c r="J76" i="4"/>
  <c r="A40" i="5"/>
  <c r="A108" i="5"/>
  <c r="A115" i="5"/>
  <c r="A56" i="5"/>
  <c r="A117" i="5"/>
  <c r="A6" i="5"/>
  <c r="A10" i="5"/>
  <c r="A59" i="5"/>
  <c r="C18" i="3"/>
  <c r="H18" i="3" s="1"/>
  <c r="M18" i="3" s="1"/>
  <c r="N62" i="4"/>
  <c r="Q85" i="4"/>
  <c r="C31" i="3"/>
  <c r="H31" i="3" s="1"/>
  <c r="M31" i="3" s="1"/>
  <c r="A25" i="5"/>
  <c r="A65" i="5"/>
  <c r="A124" i="5"/>
  <c r="A141" i="5"/>
  <c r="N48" i="4"/>
  <c r="K69" i="4"/>
  <c r="A36" i="5"/>
  <c r="A71" i="5"/>
  <c r="A103" i="5"/>
  <c r="I31" i="3"/>
  <c r="C20" i="3"/>
  <c r="H20" i="3" s="1"/>
  <c r="M20" i="3" s="1"/>
  <c r="C22" i="3"/>
  <c r="A60" i="5"/>
  <c r="A91" i="5"/>
  <c r="A104" i="5"/>
  <c r="A111" i="5"/>
  <c r="I26" i="3"/>
  <c r="Q4" i="4"/>
  <c r="Q22" i="4"/>
  <c r="C19" i="3"/>
  <c r="H19" i="3" s="1"/>
  <c r="M19" i="3" s="1"/>
  <c r="Q40" i="4"/>
  <c r="K55" i="4"/>
  <c r="Q80" i="4"/>
  <c r="Q110" i="4"/>
  <c r="A133" i="5"/>
  <c r="A140" i="5"/>
  <c r="A64" i="5"/>
  <c r="A109" i="5"/>
  <c r="A116" i="5"/>
  <c r="A123" i="5"/>
  <c r="A142" i="5"/>
  <c r="A138" i="5"/>
  <c r="A134" i="5"/>
  <c r="A130" i="5"/>
  <c r="A126" i="5"/>
  <c r="A122" i="5"/>
  <c r="A118" i="5"/>
  <c r="A114" i="5"/>
  <c r="A110" i="5"/>
  <c r="A106" i="5"/>
  <c r="A102" i="5"/>
  <c r="A98" i="5"/>
  <c r="A94" i="5"/>
  <c r="A90" i="5"/>
  <c r="A86" i="5"/>
  <c r="A82" i="5"/>
  <c r="A78" i="5"/>
  <c r="A74" i="5"/>
  <c r="A70" i="5"/>
  <c r="A100" i="5"/>
  <c r="A92" i="5"/>
  <c r="A84" i="5"/>
  <c r="A76" i="5"/>
  <c r="A58" i="5"/>
  <c r="A55" i="5"/>
  <c r="A42" i="5"/>
  <c r="A39" i="5"/>
  <c r="A101" i="5"/>
  <c r="A93" i="5"/>
  <c r="A85" i="5"/>
  <c r="A77" i="5"/>
  <c r="A69" i="5"/>
  <c r="A53" i="5"/>
  <c r="A37" i="5"/>
  <c r="A30" i="5"/>
  <c r="A26" i="5"/>
  <c r="A22" i="5"/>
  <c r="A18" i="5"/>
  <c r="A14" i="5"/>
  <c r="A96" i="5"/>
  <c r="A88" i="5"/>
  <c r="A80" i="5"/>
  <c r="A72" i="5"/>
  <c r="A66" i="5"/>
  <c r="A63" i="5"/>
  <c r="A50" i="5"/>
  <c r="A47" i="5"/>
  <c r="A34" i="5"/>
  <c r="A139" i="5"/>
  <c r="A132" i="5"/>
  <c r="A127" i="5"/>
  <c r="A125" i="5"/>
  <c r="A120" i="5"/>
  <c r="A113" i="5"/>
  <c r="A99" i="5"/>
  <c r="A48" i="5"/>
  <c r="A44" i="5"/>
  <c r="A29" i="5"/>
  <c r="A97" i="5"/>
  <c r="A46" i="5"/>
  <c r="A27" i="5"/>
  <c r="A20" i="5"/>
  <c r="A13" i="5"/>
  <c r="A9" i="5"/>
  <c r="A5" i="5"/>
  <c r="A145" i="5"/>
  <c r="A107" i="5"/>
  <c r="A83" i="5"/>
  <c r="A49" i="5"/>
  <c r="A21" i="5"/>
  <c r="A81" i="5"/>
  <c r="A45" i="5"/>
  <c r="A43" i="5"/>
  <c r="A41" i="5"/>
  <c r="A28" i="5"/>
  <c r="A19" i="5"/>
  <c r="A11" i="5"/>
  <c r="A7" i="5"/>
  <c r="Q105" i="4"/>
  <c r="A35" i="5"/>
  <c r="A38" i="5"/>
  <c r="A67" i="5"/>
  <c r="I16" i="3"/>
  <c r="I17" i="3"/>
  <c r="AB17" i="3" s="1"/>
  <c r="I18" i="3"/>
  <c r="AB18" i="3" s="1"/>
  <c r="I19" i="3"/>
  <c r="AB19" i="3" s="1"/>
  <c r="I20" i="3"/>
  <c r="AB20" i="3" s="1"/>
  <c r="I21" i="3"/>
  <c r="AB21" i="3" s="1"/>
  <c r="I23" i="3"/>
  <c r="AB23" i="3" s="1"/>
  <c r="A51" i="5"/>
  <c r="A54" i="5"/>
  <c r="A15" i="5"/>
  <c r="A23" i="5"/>
  <c r="A31" i="5"/>
  <c r="A57" i="5"/>
  <c r="B3" i="6"/>
  <c r="G131" i="5" l="1"/>
  <c r="Q83" i="4"/>
  <c r="AB29" i="3"/>
  <c r="Q48" i="4"/>
  <c r="AB27" i="3"/>
  <c r="AB28" i="3"/>
  <c r="Q55" i="4"/>
  <c r="J19" i="3"/>
  <c r="G143" i="5"/>
  <c r="I131" i="5"/>
  <c r="J18" i="3"/>
  <c r="H143" i="5"/>
  <c r="AB24" i="3"/>
  <c r="I143" i="5"/>
  <c r="Q62" i="4"/>
  <c r="E143" i="5"/>
  <c r="F143" i="5"/>
  <c r="H22" i="3"/>
  <c r="M22" i="3" s="1"/>
  <c r="B143" i="5"/>
  <c r="C143" i="5"/>
  <c r="B11" i="3"/>
  <c r="AB39" i="3"/>
  <c r="J17" i="3"/>
  <c r="H131" i="5"/>
  <c r="B131" i="5"/>
  <c r="C131" i="5"/>
  <c r="D131" i="5"/>
  <c r="B9" i="3"/>
  <c r="B25" i="2" s="1"/>
  <c r="Q69" i="4"/>
  <c r="Q76" i="4"/>
  <c r="E131" i="5"/>
  <c r="I145" i="5"/>
  <c r="H145" i="5"/>
  <c r="C145" i="5"/>
  <c r="B145" i="5"/>
  <c r="G145" i="5"/>
  <c r="E145" i="5"/>
  <c r="D145" i="5"/>
  <c r="F145" i="5"/>
  <c r="E52" i="5"/>
  <c r="B52" i="5"/>
  <c r="I52" i="5"/>
  <c r="H52" i="5"/>
  <c r="G52" i="5"/>
  <c r="F52" i="5"/>
  <c r="D52" i="5"/>
  <c r="C52" i="5"/>
  <c r="J21" i="3"/>
  <c r="H33" i="5"/>
  <c r="C33" i="5"/>
  <c r="E33" i="5"/>
  <c r="D33" i="5"/>
  <c r="G33" i="5"/>
  <c r="F33" i="5"/>
  <c r="I33" i="5"/>
  <c r="B33" i="5"/>
  <c r="G28" i="5"/>
  <c r="F28" i="5"/>
  <c r="I28" i="5"/>
  <c r="B28" i="5"/>
  <c r="D28" i="5"/>
  <c r="C28" i="5"/>
  <c r="H28" i="5"/>
  <c r="E28" i="5"/>
  <c r="I13" i="5"/>
  <c r="B13" i="5"/>
  <c r="H13" i="5"/>
  <c r="G13" i="5"/>
  <c r="F13" i="5"/>
  <c r="E13" i="5"/>
  <c r="D13" i="5"/>
  <c r="C13" i="5"/>
  <c r="D127" i="5"/>
  <c r="C127" i="5"/>
  <c r="B127" i="5"/>
  <c r="F127" i="5"/>
  <c r="E127" i="5"/>
  <c r="I127" i="5"/>
  <c r="H127" i="5"/>
  <c r="G127" i="5"/>
  <c r="F14" i="5"/>
  <c r="H14" i="5"/>
  <c r="G14" i="5"/>
  <c r="I14" i="5"/>
  <c r="E14" i="5"/>
  <c r="B14" i="5"/>
  <c r="D14" i="5"/>
  <c r="C14" i="5"/>
  <c r="B39" i="5"/>
  <c r="I39" i="5"/>
  <c r="H39" i="5"/>
  <c r="D39" i="5"/>
  <c r="C39" i="5"/>
  <c r="F39" i="5"/>
  <c r="E39" i="5"/>
  <c r="G39" i="5"/>
  <c r="F86" i="5"/>
  <c r="E86" i="5"/>
  <c r="D86" i="5"/>
  <c r="C86" i="5"/>
  <c r="B86" i="5"/>
  <c r="G86" i="5"/>
  <c r="I86" i="5"/>
  <c r="H86" i="5"/>
  <c r="F134" i="5"/>
  <c r="E134" i="5"/>
  <c r="D134" i="5"/>
  <c r="C134" i="5"/>
  <c r="B134" i="5"/>
  <c r="G134" i="5"/>
  <c r="I134" i="5"/>
  <c r="H134" i="5"/>
  <c r="H65" i="5"/>
  <c r="C65" i="5"/>
  <c r="E65" i="5"/>
  <c r="D65" i="5"/>
  <c r="G65" i="5"/>
  <c r="F65" i="5"/>
  <c r="I65" i="5"/>
  <c r="B65" i="5"/>
  <c r="D79" i="5"/>
  <c r="B79" i="5"/>
  <c r="C79" i="5"/>
  <c r="I79" i="5"/>
  <c r="H79" i="5"/>
  <c r="G79" i="5"/>
  <c r="F79" i="5"/>
  <c r="E79" i="5"/>
  <c r="H89" i="5"/>
  <c r="G89" i="5"/>
  <c r="F89" i="5"/>
  <c r="E89" i="5"/>
  <c r="D89" i="5"/>
  <c r="C89" i="5"/>
  <c r="B89" i="5"/>
  <c r="I89" i="5"/>
  <c r="D135" i="5"/>
  <c r="C135" i="5"/>
  <c r="B135" i="5"/>
  <c r="E135" i="5"/>
  <c r="G135" i="5"/>
  <c r="F135" i="5"/>
  <c r="I135" i="5"/>
  <c r="H135" i="5"/>
  <c r="C17" i="5"/>
  <c r="I17" i="5"/>
  <c r="E17" i="5"/>
  <c r="D17" i="5"/>
  <c r="G17" i="5"/>
  <c r="F17" i="5"/>
  <c r="H17" i="5"/>
  <c r="B17" i="5"/>
  <c r="I113" i="5"/>
  <c r="H113" i="5"/>
  <c r="C113" i="5"/>
  <c r="B113" i="5"/>
  <c r="D113" i="5"/>
  <c r="G113" i="5"/>
  <c r="F113" i="5"/>
  <c r="E113" i="5"/>
  <c r="J25" i="3"/>
  <c r="AB25" i="3"/>
  <c r="E6" i="5"/>
  <c r="D6" i="5"/>
  <c r="G6" i="5"/>
  <c r="F6" i="5"/>
  <c r="I6" i="5"/>
  <c r="H6" i="5"/>
  <c r="C6" i="5"/>
  <c r="B6" i="5"/>
  <c r="I19" i="5"/>
  <c r="D19" i="5"/>
  <c r="C19" i="5"/>
  <c r="B19" i="5"/>
  <c r="H19" i="5"/>
  <c r="G19" i="5"/>
  <c r="F19" i="5"/>
  <c r="E19" i="5"/>
  <c r="I125" i="5"/>
  <c r="H125" i="5"/>
  <c r="F125" i="5"/>
  <c r="E125" i="5"/>
  <c r="C125" i="5"/>
  <c r="B125" i="5"/>
  <c r="G125" i="5"/>
  <c r="D125" i="5"/>
  <c r="E82" i="5"/>
  <c r="C82" i="5"/>
  <c r="B82" i="5"/>
  <c r="I82" i="5"/>
  <c r="H82" i="5"/>
  <c r="G82" i="5"/>
  <c r="F82" i="5"/>
  <c r="D82" i="5"/>
  <c r="I117" i="5"/>
  <c r="H117" i="5"/>
  <c r="E117" i="5"/>
  <c r="G117" i="5"/>
  <c r="F117" i="5"/>
  <c r="D117" i="5"/>
  <c r="C117" i="5"/>
  <c r="B117" i="5"/>
  <c r="H41" i="5"/>
  <c r="D41" i="5"/>
  <c r="C41" i="5"/>
  <c r="B41" i="5"/>
  <c r="I41" i="5"/>
  <c r="E41" i="5"/>
  <c r="G41" i="5"/>
  <c r="F41" i="5"/>
  <c r="G20" i="5"/>
  <c r="F20" i="5"/>
  <c r="B20" i="5"/>
  <c r="I20" i="5"/>
  <c r="D20" i="5"/>
  <c r="C20" i="5"/>
  <c r="H20" i="5"/>
  <c r="E20" i="5"/>
  <c r="G132" i="5"/>
  <c r="F132" i="5"/>
  <c r="E132" i="5"/>
  <c r="I132" i="5"/>
  <c r="H132" i="5"/>
  <c r="C132" i="5"/>
  <c r="B132" i="5"/>
  <c r="D132" i="5"/>
  <c r="F18" i="5"/>
  <c r="D18" i="5"/>
  <c r="C18" i="5"/>
  <c r="I18" i="5"/>
  <c r="H18" i="5"/>
  <c r="G18" i="5"/>
  <c r="E18" i="5"/>
  <c r="B18" i="5"/>
  <c r="H42" i="5"/>
  <c r="G42" i="5"/>
  <c r="C42" i="5"/>
  <c r="B42" i="5"/>
  <c r="E42" i="5"/>
  <c r="D42" i="5"/>
  <c r="I42" i="5"/>
  <c r="F42" i="5"/>
  <c r="E90" i="5"/>
  <c r="G90" i="5"/>
  <c r="F90" i="5"/>
  <c r="I90" i="5"/>
  <c r="H90" i="5"/>
  <c r="D90" i="5"/>
  <c r="C90" i="5"/>
  <c r="B90" i="5"/>
  <c r="H138" i="5"/>
  <c r="C138" i="5"/>
  <c r="B138" i="5"/>
  <c r="I138" i="5"/>
  <c r="E138" i="5"/>
  <c r="D138" i="5"/>
  <c r="G138" i="5"/>
  <c r="F138" i="5"/>
  <c r="J31" i="3"/>
  <c r="AB31" i="3"/>
  <c r="C25" i="5"/>
  <c r="I25" i="5"/>
  <c r="E25" i="5"/>
  <c r="D25" i="5"/>
  <c r="G25" i="5"/>
  <c r="F25" i="5"/>
  <c r="H25" i="5"/>
  <c r="B25" i="5"/>
  <c r="D95" i="5"/>
  <c r="B95" i="5"/>
  <c r="C95" i="5"/>
  <c r="I95" i="5"/>
  <c r="H95" i="5"/>
  <c r="G95" i="5"/>
  <c r="F95" i="5"/>
  <c r="E95" i="5"/>
  <c r="G136" i="5"/>
  <c r="F136" i="5"/>
  <c r="E136" i="5"/>
  <c r="C136" i="5"/>
  <c r="B136" i="5"/>
  <c r="I136" i="5"/>
  <c r="H136" i="5"/>
  <c r="D136" i="5"/>
  <c r="G128" i="5"/>
  <c r="F128" i="5"/>
  <c r="E128" i="5"/>
  <c r="B128" i="5"/>
  <c r="D128" i="5"/>
  <c r="C128" i="5"/>
  <c r="I128" i="5"/>
  <c r="H128" i="5"/>
  <c r="E10" i="5"/>
  <c r="D10" i="5"/>
  <c r="G10" i="5"/>
  <c r="F10" i="5"/>
  <c r="I10" i="5"/>
  <c r="H10" i="5"/>
  <c r="C10" i="5"/>
  <c r="B10" i="5"/>
  <c r="H93" i="5"/>
  <c r="F93" i="5"/>
  <c r="I93" i="5"/>
  <c r="G93" i="5"/>
  <c r="B93" i="5"/>
  <c r="E93" i="5"/>
  <c r="D93" i="5"/>
  <c r="C93" i="5"/>
  <c r="J30" i="3"/>
  <c r="AB30" i="3"/>
  <c r="B9" i="5"/>
  <c r="H9" i="5"/>
  <c r="G9" i="5"/>
  <c r="F9" i="5"/>
  <c r="E9" i="5"/>
  <c r="D9" i="5"/>
  <c r="C9" i="5"/>
  <c r="I9" i="5"/>
  <c r="G96" i="5"/>
  <c r="E96" i="5"/>
  <c r="I96" i="5"/>
  <c r="B96" i="5"/>
  <c r="H96" i="5"/>
  <c r="C96" i="5"/>
  <c r="F96" i="5"/>
  <c r="D96" i="5"/>
  <c r="H101" i="5"/>
  <c r="F101" i="5"/>
  <c r="D101" i="5"/>
  <c r="C101" i="5"/>
  <c r="I101" i="5"/>
  <c r="G101" i="5"/>
  <c r="E101" i="5"/>
  <c r="B101" i="5"/>
  <c r="B130" i="5"/>
  <c r="I130" i="5"/>
  <c r="H130" i="5"/>
  <c r="G130" i="5"/>
  <c r="F130" i="5"/>
  <c r="E130" i="5"/>
  <c r="D130" i="5"/>
  <c r="C130" i="5"/>
  <c r="G124" i="5"/>
  <c r="F124" i="5"/>
  <c r="E124" i="5"/>
  <c r="H124" i="5"/>
  <c r="I124" i="5"/>
  <c r="D124" i="5"/>
  <c r="C124" i="5"/>
  <c r="B124" i="5"/>
  <c r="H73" i="5"/>
  <c r="G73" i="5"/>
  <c r="F73" i="5"/>
  <c r="E73" i="5"/>
  <c r="D73" i="5"/>
  <c r="C73" i="5"/>
  <c r="B73" i="5"/>
  <c r="I73" i="5"/>
  <c r="B43" i="5"/>
  <c r="E43" i="5"/>
  <c r="I43" i="5"/>
  <c r="C43" i="5"/>
  <c r="H43" i="5"/>
  <c r="G43" i="5"/>
  <c r="F43" i="5"/>
  <c r="D43" i="5"/>
  <c r="I27" i="5"/>
  <c r="D27" i="5"/>
  <c r="C27" i="5"/>
  <c r="B27" i="5"/>
  <c r="E27" i="5"/>
  <c r="H27" i="5"/>
  <c r="G27" i="5"/>
  <c r="F27" i="5"/>
  <c r="D139" i="5"/>
  <c r="C139" i="5"/>
  <c r="B139" i="5"/>
  <c r="I139" i="5"/>
  <c r="H139" i="5"/>
  <c r="F139" i="5"/>
  <c r="E139" i="5"/>
  <c r="G139" i="5"/>
  <c r="F22" i="5"/>
  <c r="H22" i="5"/>
  <c r="G22" i="5"/>
  <c r="I22" i="5"/>
  <c r="B22" i="5"/>
  <c r="E22" i="5"/>
  <c r="D22" i="5"/>
  <c r="C22" i="5"/>
  <c r="B55" i="5"/>
  <c r="I55" i="5"/>
  <c r="H55" i="5"/>
  <c r="G55" i="5"/>
  <c r="F55" i="5"/>
  <c r="E55" i="5"/>
  <c r="D55" i="5"/>
  <c r="C55" i="5"/>
  <c r="F94" i="5"/>
  <c r="E94" i="5"/>
  <c r="I94" i="5"/>
  <c r="H94" i="5"/>
  <c r="C94" i="5"/>
  <c r="B94" i="5"/>
  <c r="G94" i="5"/>
  <c r="D94" i="5"/>
  <c r="E142" i="5"/>
  <c r="G142" i="5"/>
  <c r="F142" i="5"/>
  <c r="I142" i="5"/>
  <c r="H142" i="5"/>
  <c r="B142" i="5"/>
  <c r="D142" i="5"/>
  <c r="C142" i="5"/>
  <c r="D103" i="5"/>
  <c r="C103" i="5"/>
  <c r="B103" i="5"/>
  <c r="E103" i="5"/>
  <c r="G103" i="5"/>
  <c r="F103" i="5"/>
  <c r="I103" i="5"/>
  <c r="H103" i="5"/>
  <c r="J20" i="3"/>
  <c r="I105" i="5"/>
  <c r="H105" i="5"/>
  <c r="B105" i="5"/>
  <c r="G105" i="5"/>
  <c r="F105" i="5"/>
  <c r="E105" i="5"/>
  <c r="D105" i="5"/>
  <c r="C105" i="5"/>
  <c r="I129" i="5"/>
  <c r="H129" i="5"/>
  <c r="C129" i="5"/>
  <c r="B129" i="5"/>
  <c r="F129" i="5"/>
  <c r="E129" i="5"/>
  <c r="G129" i="5"/>
  <c r="D129" i="5"/>
  <c r="I121" i="5"/>
  <c r="H121" i="5"/>
  <c r="B121" i="5"/>
  <c r="D121" i="5"/>
  <c r="C121" i="5"/>
  <c r="F121" i="5"/>
  <c r="E121" i="5"/>
  <c r="G121" i="5"/>
  <c r="H7" i="5"/>
  <c r="G7" i="5"/>
  <c r="B7" i="5"/>
  <c r="F7" i="5"/>
  <c r="E7" i="5"/>
  <c r="D7" i="5"/>
  <c r="C7" i="5"/>
  <c r="I7" i="5"/>
  <c r="G80" i="5"/>
  <c r="E80" i="5"/>
  <c r="I80" i="5"/>
  <c r="B80" i="5"/>
  <c r="C80" i="5"/>
  <c r="H80" i="5"/>
  <c r="F80" i="5"/>
  <c r="D80" i="5"/>
  <c r="H85" i="5"/>
  <c r="F85" i="5"/>
  <c r="D85" i="5"/>
  <c r="C85" i="5"/>
  <c r="I85" i="5"/>
  <c r="G85" i="5"/>
  <c r="E85" i="5"/>
  <c r="B85" i="5"/>
  <c r="E74" i="5"/>
  <c r="G74" i="5"/>
  <c r="F74" i="5"/>
  <c r="I74" i="5"/>
  <c r="H74" i="5"/>
  <c r="D74" i="5"/>
  <c r="C74" i="5"/>
  <c r="B74" i="5"/>
  <c r="H122" i="5"/>
  <c r="C122" i="5"/>
  <c r="B122" i="5"/>
  <c r="F122" i="5"/>
  <c r="E122" i="5"/>
  <c r="I122" i="5"/>
  <c r="G122" i="5"/>
  <c r="D122" i="5"/>
  <c r="I133" i="5"/>
  <c r="H133" i="5"/>
  <c r="E133" i="5"/>
  <c r="C133" i="5"/>
  <c r="B133" i="5"/>
  <c r="G133" i="5"/>
  <c r="F133" i="5"/>
  <c r="D133" i="5"/>
  <c r="D91" i="5"/>
  <c r="B91" i="5"/>
  <c r="E91" i="5"/>
  <c r="C91" i="5"/>
  <c r="H91" i="5"/>
  <c r="G91" i="5"/>
  <c r="I91" i="5"/>
  <c r="F91" i="5"/>
  <c r="B5" i="5"/>
  <c r="H5" i="5"/>
  <c r="F5" i="5"/>
  <c r="E5" i="5"/>
  <c r="D5" i="5"/>
  <c r="G5" i="5" s="1"/>
  <c r="C5" i="5"/>
  <c r="I5" i="5"/>
  <c r="G120" i="5"/>
  <c r="F120" i="5"/>
  <c r="E120" i="5"/>
  <c r="C120" i="5"/>
  <c r="B120" i="5"/>
  <c r="D120" i="5"/>
  <c r="I120" i="5"/>
  <c r="H120" i="5"/>
  <c r="F78" i="5"/>
  <c r="E78" i="5"/>
  <c r="I78" i="5"/>
  <c r="H78" i="5"/>
  <c r="C78" i="5"/>
  <c r="B78" i="5"/>
  <c r="G78" i="5"/>
  <c r="D78" i="5"/>
  <c r="E126" i="5"/>
  <c r="I126" i="5"/>
  <c r="C126" i="5"/>
  <c r="B126" i="5"/>
  <c r="H126" i="5"/>
  <c r="G126" i="5"/>
  <c r="F126" i="5"/>
  <c r="D126" i="5"/>
  <c r="E60" i="5"/>
  <c r="I60" i="5"/>
  <c r="C60" i="5"/>
  <c r="B60" i="5"/>
  <c r="G60" i="5"/>
  <c r="F60" i="5"/>
  <c r="H60" i="5"/>
  <c r="D60" i="5"/>
  <c r="H45" i="5"/>
  <c r="G45" i="5"/>
  <c r="F45" i="5"/>
  <c r="B45" i="5"/>
  <c r="D45" i="5"/>
  <c r="C45" i="5"/>
  <c r="I45" i="5"/>
  <c r="E45" i="5"/>
  <c r="D46" i="5"/>
  <c r="B46" i="5"/>
  <c r="I46" i="5"/>
  <c r="H46" i="5"/>
  <c r="G46" i="5"/>
  <c r="F46" i="5"/>
  <c r="E46" i="5"/>
  <c r="C46" i="5"/>
  <c r="G34" i="5"/>
  <c r="B34" i="5"/>
  <c r="E34" i="5"/>
  <c r="D34" i="5"/>
  <c r="I34" i="5"/>
  <c r="H34" i="5"/>
  <c r="F34" i="5"/>
  <c r="C34" i="5"/>
  <c r="F26" i="5"/>
  <c r="D26" i="5"/>
  <c r="C26" i="5"/>
  <c r="I26" i="5"/>
  <c r="H26" i="5"/>
  <c r="G26" i="5"/>
  <c r="E26" i="5"/>
  <c r="B26" i="5"/>
  <c r="H58" i="5"/>
  <c r="G58" i="5"/>
  <c r="F58" i="5"/>
  <c r="E58" i="5"/>
  <c r="D58" i="5"/>
  <c r="C58" i="5"/>
  <c r="B58" i="5"/>
  <c r="I58" i="5"/>
  <c r="E98" i="5"/>
  <c r="I98" i="5"/>
  <c r="C98" i="5"/>
  <c r="B98" i="5"/>
  <c r="H98" i="5"/>
  <c r="G98" i="5"/>
  <c r="F98" i="5"/>
  <c r="D98" i="5"/>
  <c r="AB36" i="3"/>
  <c r="D71" i="5"/>
  <c r="B71" i="5"/>
  <c r="C71" i="5"/>
  <c r="F71" i="5"/>
  <c r="E71" i="5"/>
  <c r="H71" i="5"/>
  <c r="G71" i="5"/>
  <c r="I71" i="5"/>
  <c r="E56" i="5"/>
  <c r="F56" i="5"/>
  <c r="H56" i="5"/>
  <c r="G56" i="5"/>
  <c r="I56" i="5"/>
  <c r="D56" i="5"/>
  <c r="C56" i="5"/>
  <c r="B56" i="5"/>
  <c r="G112" i="5"/>
  <c r="F112" i="5"/>
  <c r="E112" i="5"/>
  <c r="B112" i="5"/>
  <c r="I112" i="5"/>
  <c r="H112" i="5"/>
  <c r="D112" i="5"/>
  <c r="C112" i="5"/>
  <c r="D75" i="5"/>
  <c r="B75" i="5"/>
  <c r="E75" i="5"/>
  <c r="C75" i="5"/>
  <c r="H75" i="5"/>
  <c r="G75" i="5"/>
  <c r="I75" i="5"/>
  <c r="F75" i="5"/>
  <c r="H57" i="5"/>
  <c r="D57" i="5"/>
  <c r="C57" i="5"/>
  <c r="G57" i="5"/>
  <c r="F57" i="5"/>
  <c r="I57" i="5"/>
  <c r="E57" i="5"/>
  <c r="B57" i="5"/>
  <c r="AB16" i="3"/>
  <c r="H81" i="5"/>
  <c r="G81" i="5"/>
  <c r="F81" i="5"/>
  <c r="B81" i="5"/>
  <c r="D81" i="5"/>
  <c r="C81" i="5"/>
  <c r="I81" i="5"/>
  <c r="E81" i="5"/>
  <c r="H97" i="5"/>
  <c r="G97" i="5"/>
  <c r="F97" i="5"/>
  <c r="B97" i="5"/>
  <c r="D97" i="5"/>
  <c r="C97" i="5"/>
  <c r="I97" i="5"/>
  <c r="E97" i="5"/>
  <c r="B47" i="5"/>
  <c r="H47" i="5"/>
  <c r="C47" i="5"/>
  <c r="I47" i="5"/>
  <c r="G47" i="5"/>
  <c r="F47" i="5"/>
  <c r="E47" i="5"/>
  <c r="D47" i="5"/>
  <c r="F30" i="5"/>
  <c r="H30" i="5"/>
  <c r="G30" i="5"/>
  <c r="I30" i="5"/>
  <c r="E30" i="5"/>
  <c r="B30" i="5"/>
  <c r="D30" i="5"/>
  <c r="C30" i="5"/>
  <c r="G76" i="5"/>
  <c r="E76" i="5"/>
  <c r="I76" i="5"/>
  <c r="H76" i="5"/>
  <c r="F76" i="5"/>
  <c r="D76" i="5"/>
  <c r="C76" i="5"/>
  <c r="B76" i="5"/>
  <c r="F102" i="5"/>
  <c r="E102" i="5"/>
  <c r="D102" i="5"/>
  <c r="C102" i="5"/>
  <c r="B102" i="5"/>
  <c r="G102" i="5"/>
  <c r="I102" i="5"/>
  <c r="H102" i="5"/>
  <c r="D123" i="5"/>
  <c r="C123" i="5"/>
  <c r="B123" i="5"/>
  <c r="I123" i="5"/>
  <c r="H123" i="5"/>
  <c r="G123" i="5"/>
  <c r="F123" i="5"/>
  <c r="E123" i="5"/>
  <c r="E36" i="5"/>
  <c r="B36" i="5"/>
  <c r="I36" i="5"/>
  <c r="D36" i="5"/>
  <c r="C36" i="5"/>
  <c r="G36" i="5"/>
  <c r="F36" i="5"/>
  <c r="H36" i="5"/>
  <c r="D115" i="5"/>
  <c r="C115" i="5"/>
  <c r="B115" i="5"/>
  <c r="H115" i="5"/>
  <c r="F115" i="5"/>
  <c r="E115" i="5"/>
  <c r="I115" i="5"/>
  <c r="G115" i="5"/>
  <c r="D119" i="5"/>
  <c r="C119" i="5"/>
  <c r="B119" i="5"/>
  <c r="E119" i="5"/>
  <c r="I119" i="5"/>
  <c r="H119" i="5"/>
  <c r="G119" i="5"/>
  <c r="F119" i="5"/>
  <c r="E68" i="5"/>
  <c r="B68" i="5"/>
  <c r="I68" i="5"/>
  <c r="D68" i="5"/>
  <c r="C68" i="5"/>
  <c r="G68" i="5"/>
  <c r="F68" i="5"/>
  <c r="H68" i="5"/>
  <c r="J16" i="3"/>
  <c r="I31" i="5"/>
  <c r="D31" i="5"/>
  <c r="C31" i="5"/>
  <c r="G31" i="5"/>
  <c r="F31" i="5"/>
  <c r="H31" i="5"/>
  <c r="E31" i="5"/>
  <c r="B31" i="5"/>
  <c r="B67" i="5"/>
  <c r="F67" i="5"/>
  <c r="E67" i="5"/>
  <c r="D67" i="5"/>
  <c r="C67" i="5"/>
  <c r="G67" i="5"/>
  <c r="I67" i="5"/>
  <c r="H67" i="5"/>
  <c r="C21" i="5"/>
  <c r="I21" i="5"/>
  <c r="H21" i="5"/>
  <c r="G21" i="5"/>
  <c r="F21" i="5"/>
  <c r="E21" i="5"/>
  <c r="D21" i="5"/>
  <c r="B21" i="5"/>
  <c r="C29" i="5"/>
  <c r="I29" i="5"/>
  <c r="H29" i="5"/>
  <c r="G29" i="5"/>
  <c r="F29" i="5"/>
  <c r="E29" i="5"/>
  <c r="D29" i="5"/>
  <c r="B29" i="5"/>
  <c r="G50" i="5"/>
  <c r="B50" i="5"/>
  <c r="I50" i="5"/>
  <c r="H50" i="5"/>
  <c r="C50" i="5"/>
  <c r="F50" i="5"/>
  <c r="E50" i="5"/>
  <c r="D50" i="5"/>
  <c r="H37" i="5"/>
  <c r="F37" i="5"/>
  <c r="D37" i="5"/>
  <c r="C37" i="5"/>
  <c r="I37" i="5"/>
  <c r="G37" i="5"/>
  <c r="E37" i="5"/>
  <c r="B37" i="5"/>
  <c r="G84" i="5"/>
  <c r="E84" i="5"/>
  <c r="I84" i="5"/>
  <c r="C84" i="5"/>
  <c r="B84" i="5"/>
  <c r="F84" i="5"/>
  <c r="D84" i="5"/>
  <c r="H84" i="5"/>
  <c r="H106" i="5"/>
  <c r="C106" i="5"/>
  <c r="B106" i="5"/>
  <c r="I106" i="5"/>
  <c r="D106" i="5"/>
  <c r="G106" i="5"/>
  <c r="F106" i="5"/>
  <c r="E106" i="5"/>
  <c r="G116" i="5"/>
  <c r="F116" i="5"/>
  <c r="E116" i="5"/>
  <c r="I116" i="5"/>
  <c r="H116" i="5"/>
  <c r="D116" i="5"/>
  <c r="C116" i="5"/>
  <c r="B116" i="5"/>
  <c r="J26" i="3"/>
  <c r="AB26" i="3"/>
  <c r="G108" i="5"/>
  <c r="F108" i="5"/>
  <c r="E108" i="5"/>
  <c r="H108" i="5"/>
  <c r="C108" i="5"/>
  <c r="B108" i="5"/>
  <c r="I108" i="5"/>
  <c r="D108" i="5"/>
  <c r="I137" i="5"/>
  <c r="H137" i="5"/>
  <c r="B137" i="5"/>
  <c r="G137" i="5"/>
  <c r="F137" i="5"/>
  <c r="E137" i="5"/>
  <c r="D137" i="5"/>
  <c r="C137" i="5"/>
  <c r="D62" i="5"/>
  <c r="F62" i="5"/>
  <c r="E62" i="5"/>
  <c r="H62" i="5"/>
  <c r="G62" i="5"/>
  <c r="I62" i="5"/>
  <c r="C62" i="5"/>
  <c r="B62" i="5"/>
  <c r="H11" i="5"/>
  <c r="G11" i="5"/>
  <c r="B11" i="5"/>
  <c r="F11" i="5"/>
  <c r="E11" i="5"/>
  <c r="D11" i="5"/>
  <c r="C11" i="5"/>
  <c r="I11" i="5"/>
  <c r="I23" i="5"/>
  <c r="D23" i="5"/>
  <c r="C23" i="5"/>
  <c r="G23" i="5"/>
  <c r="F23" i="5"/>
  <c r="H23" i="5"/>
  <c r="E23" i="5"/>
  <c r="B23" i="5"/>
  <c r="E38" i="5"/>
  <c r="D38" i="5"/>
  <c r="C38" i="5"/>
  <c r="B38" i="5"/>
  <c r="F38" i="5"/>
  <c r="I38" i="5"/>
  <c r="H38" i="5"/>
  <c r="G38" i="5"/>
  <c r="H49" i="5"/>
  <c r="C49" i="5"/>
  <c r="I49" i="5"/>
  <c r="G49" i="5"/>
  <c r="F49" i="5"/>
  <c r="E49" i="5"/>
  <c r="D49" i="5"/>
  <c r="B49" i="5"/>
  <c r="E44" i="5"/>
  <c r="I44" i="5"/>
  <c r="C44" i="5"/>
  <c r="B44" i="5"/>
  <c r="D44" i="5"/>
  <c r="H44" i="5"/>
  <c r="G44" i="5"/>
  <c r="F44" i="5"/>
  <c r="B63" i="5"/>
  <c r="H63" i="5"/>
  <c r="C63" i="5"/>
  <c r="F63" i="5"/>
  <c r="E63" i="5"/>
  <c r="I63" i="5"/>
  <c r="G63" i="5"/>
  <c r="D63" i="5"/>
  <c r="H53" i="5"/>
  <c r="F53" i="5"/>
  <c r="I53" i="5"/>
  <c r="G53" i="5"/>
  <c r="E53" i="5"/>
  <c r="B53" i="5"/>
  <c r="D53" i="5"/>
  <c r="C53" i="5"/>
  <c r="G92" i="5"/>
  <c r="E92" i="5"/>
  <c r="I92" i="5"/>
  <c r="H92" i="5"/>
  <c r="F92" i="5"/>
  <c r="D92" i="5"/>
  <c r="C92" i="5"/>
  <c r="B92" i="5"/>
  <c r="E110" i="5"/>
  <c r="G110" i="5"/>
  <c r="F110" i="5"/>
  <c r="I110" i="5"/>
  <c r="H110" i="5"/>
  <c r="D110" i="5"/>
  <c r="C110" i="5"/>
  <c r="B110" i="5"/>
  <c r="I109" i="5"/>
  <c r="H109" i="5"/>
  <c r="F109" i="5"/>
  <c r="E109" i="5"/>
  <c r="D109" i="5"/>
  <c r="C109" i="5"/>
  <c r="B109" i="5"/>
  <c r="G109" i="5"/>
  <c r="E40" i="5"/>
  <c r="F40" i="5"/>
  <c r="C40" i="5"/>
  <c r="B40" i="5"/>
  <c r="I40" i="5"/>
  <c r="H40" i="5"/>
  <c r="G40" i="5"/>
  <c r="D40" i="5"/>
  <c r="G144" i="5"/>
  <c r="F144" i="5"/>
  <c r="E144" i="5"/>
  <c r="B144" i="5"/>
  <c r="I144" i="5"/>
  <c r="H144" i="5"/>
  <c r="D144" i="5"/>
  <c r="C144" i="5"/>
  <c r="I22" i="3"/>
  <c r="E12" i="5"/>
  <c r="D12" i="5"/>
  <c r="G12" i="5"/>
  <c r="F12" i="5"/>
  <c r="I12" i="5"/>
  <c r="H12" i="5"/>
  <c r="C12" i="5"/>
  <c r="B12" i="5"/>
  <c r="G32" i="5"/>
  <c r="F32" i="5"/>
  <c r="E32" i="5"/>
  <c r="D32" i="5"/>
  <c r="C32" i="5"/>
  <c r="B32" i="5"/>
  <c r="H32" i="5"/>
  <c r="I32" i="5"/>
  <c r="G88" i="5"/>
  <c r="E88" i="5"/>
  <c r="I88" i="5"/>
  <c r="B88" i="5"/>
  <c r="F88" i="5"/>
  <c r="D88" i="5"/>
  <c r="H88" i="5"/>
  <c r="C88" i="5"/>
  <c r="D87" i="5"/>
  <c r="B87" i="5"/>
  <c r="C87" i="5"/>
  <c r="F87" i="5"/>
  <c r="E87" i="5"/>
  <c r="H87" i="5"/>
  <c r="G87" i="5"/>
  <c r="I87" i="5"/>
  <c r="I15" i="5"/>
  <c r="D15" i="5"/>
  <c r="C15" i="5"/>
  <c r="G15" i="5"/>
  <c r="F15" i="5"/>
  <c r="H15" i="5"/>
  <c r="E15" i="5"/>
  <c r="B15" i="5"/>
  <c r="B35" i="5"/>
  <c r="F35" i="5"/>
  <c r="E35" i="5"/>
  <c r="D35" i="5"/>
  <c r="C35" i="5"/>
  <c r="I35" i="5"/>
  <c r="H35" i="5"/>
  <c r="G35" i="5"/>
  <c r="D83" i="5"/>
  <c r="B83" i="5"/>
  <c r="E83" i="5"/>
  <c r="C83" i="5"/>
  <c r="I83" i="5"/>
  <c r="F83" i="5"/>
  <c r="H83" i="5"/>
  <c r="G83" i="5"/>
  <c r="E48" i="5"/>
  <c r="G48" i="5"/>
  <c r="F48" i="5"/>
  <c r="I48" i="5"/>
  <c r="C48" i="5"/>
  <c r="B48" i="5"/>
  <c r="H48" i="5"/>
  <c r="D48" i="5"/>
  <c r="G66" i="5"/>
  <c r="B66" i="5"/>
  <c r="E66" i="5"/>
  <c r="D66" i="5"/>
  <c r="I66" i="5"/>
  <c r="H66" i="5"/>
  <c r="F66" i="5"/>
  <c r="C66" i="5"/>
  <c r="H69" i="5"/>
  <c r="F69" i="5"/>
  <c r="D69" i="5"/>
  <c r="C69" i="5"/>
  <c r="I69" i="5"/>
  <c r="G69" i="5"/>
  <c r="E69" i="5"/>
  <c r="B69" i="5"/>
  <c r="G100" i="5"/>
  <c r="E100" i="5"/>
  <c r="I100" i="5"/>
  <c r="C100" i="5"/>
  <c r="B100" i="5"/>
  <c r="F100" i="5"/>
  <c r="D100" i="5"/>
  <c r="H100" i="5"/>
  <c r="B114" i="5"/>
  <c r="I114" i="5"/>
  <c r="H114" i="5"/>
  <c r="D114" i="5"/>
  <c r="C114" i="5"/>
  <c r="F114" i="5"/>
  <c r="E114" i="5"/>
  <c r="G114" i="5"/>
  <c r="E64" i="5"/>
  <c r="G64" i="5"/>
  <c r="F64" i="5"/>
  <c r="D64" i="5"/>
  <c r="C64" i="5"/>
  <c r="B64" i="5"/>
  <c r="H64" i="5"/>
  <c r="I64" i="5"/>
  <c r="D111" i="5"/>
  <c r="C111" i="5"/>
  <c r="B111" i="5"/>
  <c r="F111" i="5"/>
  <c r="E111" i="5"/>
  <c r="I111" i="5"/>
  <c r="H111" i="5"/>
  <c r="G111" i="5"/>
  <c r="I141" i="5"/>
  <c r="H141" i="5"/>
  <c r="F141" i="5"/>
  <c r="E141" i="5"/>
  <c r="D141" i="5"/>
  <c r="C141" i="5"/>
  <c r="B141" i="5"/>
  <c r="G141" i="5"/>
  <c r="G16" i="5"/>
  <c r="F16" i="5"/>
  <c r="E16" i="5"/>
  <c r="D16" i="5"/>
  <c r="C16" i="5"/>
  <c r="B16" i="5"/>
  <c r="H16" i="5"/>
  <c r="I16" i="5"/>
  <c r="E8" i="5"/>
  <c r="D8" i="5"/>
  <c r="G8" i="5"/>
  <c r="F8" i="5"/>
  <c r="I8" i="5"/>
  <c r="H8" i="5"/>
  <c r="C8" i="5"/>
  <c r="B8" i="5"/>
  <c r="B51" i="5"/>
  <c r="F51" i="5"/>
  <c r="E51" i="5"/>
  <c r="I51" i="5"/>
  <c r="H51" i="5"/>
  <c r="C51" i="5"/>
  <c r="G51" i="5"/>
  <c r="D51" i="5"/>
  <c r="H61" i="5"/>
  <c r="G61" i="5"/>
  <c r="F61" i="5"/>
  <c r="E61" i="5"/>
  <c r="D61" i="5"/>
  <c r="C61" i="5"/>
  <c r="B61" i="5"/>
  <c r="I61" i="5"/>
  <c r="J23" i="3"/>
  <c r="E54" i="5"/>
  <c r="D54" i="5"/>
  <c r="H54" i="5"/>
  <c r="G54" i="5"/>
  <c r="B54" i="5"/>
  <c r="I54" i="5"/>
  <c r="F54" i="5"/>
  <c r="C54" i="5"/>
  <c r="D107" i="5"/>
  <c r="C107" i="5"/>
  <c r="B107" i="5"/>
  <c r="I107" i="5"/>
  <c r="H107" i="5"/>
  <c r="F107" i="5"/>
  <c r="E107" i="5"/>
  <c r="G107" i="5"/>
  <c r="D99" i="5"/>
  <c r="B99" i="5"/>
  <c r="E99" i="5"/>
  <c r="C99" i="5"/>
  <c r="F99" i="5"/>
  <c r="I99" i="5"/>
  <c r="H99" i="5"/>
  <c r="G99" i="5"/>
  <c r="G72" i="5"/>
  <c r="E72" i="5"/>
  <c r="I72" i="5"/>
  <c r="B72" i="5"/>
  <c r="F72" i="5"/>
  <c r="D72" i="5"/>
  <c r="H72" i="5"/>
  <c r="C72" i="5"/>
  <c r="H77" i="5"/>
  <c r="F77" i="5"/>
  <c r="I77" i="5"/>
  <c r="G77" i="5"/>
  <c r="E77" i="5"/>
  <c r="B77" i="5"/>
  <c r="D77" i="5"/>
  <c r="C77" i="5"/>
  <c r="F70" i="5"/>
  <c r="E70" i="5"/>
  <c r="D70" i="5"/>
  <c r="C70" i="5"/>
  <c r="B70" i="5"/>
  <c r="I70" i="5"/>
  <c r="H70" i="5"/>
  <c r="G70" i="5"/>
  <c r="F118" i="5"/>
  <c r="E118" i="5"/>
  <c r="I118" i="5"/>
  <c r="H118" i="5"/>
  <c r="C118" i="5"/>
  <c r="B118" i="5"/>
  <c r="G118" i="5"/>
  <c r="D118" i="5"/>
  <c r="G140" i="5"/>
  <c r="F140" i="5"/>
  <c r="E140" i="5"/>
  <c r="H140" i="5"/>
  <c r="C140" i="5"/>
  <c r="B140" i="5"/>
  <c r="I140" i="5"/>
  <c r="D140" i="5"/>
  <c r="G104" i="5"/>
  <c r="F104" i="5"/>
  <c r="E104" i="5"/>
  <c r="C104" i="5"/>
  <c r="B104" i="5"/>
  <c r="I104" i="5"/>
  <c r="H104" i="5"/>
  <c r="D104" i="5"/>
  <c r="B59" i="5"/>
  <c r="E59" i="5"/>
  <c r="G59" i="5"/>
  <c r="F59" i="5"/>
  <c r="I59" i="5"/>
  <c r="H59" i="5"/>
  <c r="D59" i="5"/>
  <c r="C59" i="5"/>
  <c r="G24" i="5"/>
  <c r="F24" i="5"/>
  <c r="E24" i="5"/>
  <c r="D24" i="5"/>
  <c r="C24" i="5"/>
  <c r="B24" i="5"/>
  <c r="H24" i="5"/>
  <c r="I24" i="5"/>
  <c r="C32" i="3"/>
  <c r="H16" i="3"/>
  <c r="I32" i="3" l="1"/>
  <c r="M16" i="3"/>
  <c r="H32" i="3"/>
  <c r="B7" i="3" s="1"/>
  <c r="AE37" i="3" s="1"/>
  <c r="J22" i="3"/>
  <c r="AB22" i="3" s="1"/>
  <c r="B6" i="3" l="1"/>
  <c r="J32" i="3"/>
  <c r="B5" i="3"/>
  <c r="B24" i="2" s="1"/>
  <c r="AB40" i="3"/>
  <c r="B10" i="3"/>
  <c r="AE36" i="3" l="1"/>
  <c r="E25" i="2"/>
  <c r="N32" i="3"/>
  <c r="B12" i="3"/>
  <c r="M32" i="3" l="1"/>
  <c r="E26" i="2"/>
</calcChain>
</file>

<file path=xl/sharedStrings.xml><?xml version="1.0" encoding="utf-8"?>
<sst xmlns="http://schemas.openxmlformats.org/spreadsheetml/2006/main" count="1062" uniqueCount="677">
  <si>
    <t>Purpose and workflow</t>
  </si>
  <si>
    <t>Use this workbook to assess site readiness for the advanced HIV disease (AHD) package of care. Complete the Facility_Profile and Checklist sheets. Domain 7 OI sub-responses are embedded directly below each parent checklist statement. The Readiness_Dashboard, parent OI totals, and Action_Plan calculate automatically. Evidence should be verified through observation, records, stock documents, staff interviews, referral logs, and DAMA where applicable.</t>
  </si>
  <si>
    <t>Completion steps</t>
  </si>
  <si>
    <t>Step</t>
  </si>
  <si>
    <t>Workbook area</t>
  </si>
  <si>
    <t>What the assessor enters</t>
  </si>
  <si>
    <t>What calculates automatically</t>
  </si>
  <si>
    <t>Quality control</t>
  </si>
  <si>
    <t>Primary output</t>
  </si>
  <si>
    <t>Notes</t>
  </si>
  <si>
    <t>Facility_Profile</t>
  </si>
  <si>
    <t>Site identifiers, region, district, assessment date, implementing partner, service entry points, and critical checks.</t>
  </si>
  <si>
    <t>Facility score summary and readiness status.</t>
  </si>
  <si>
    <t>Verified facility profile</t>
  </si>
  <si>
    <t>Assessment date drives recommended action due dates.</t>
  </si>
  <si>
    <t>Checklist</t>
  </si>
  <si>
    <t>Select Yes, Partial, No, or N/A on every scorable checklist line; enter evidence, owner, and manual due date as needed. In Domain 7, complete all six OI lines shown beneath each parent statement.</t>
  </si>
  <si>
    <t>Ready units, applicable units, gaps, target dates, validation, gap number, question totals, and readiness percentages.</t>
  </si>
  <si>
    <t>Do not overwrite calculated columns J–Q.</t>
  </si>
  <si>
    <t>111 parent questions / 141 scorable response units</t>
  </si>
  <si>
    <t>Domain 7 parent rows are summaries and are not scored separately.</t>
  </si>
  <si>
    <t>Checklist — embedded Domain 7 OI lines</t>
  </si>
  <si>
    <t>For each of the six Domain 7 parent questions, complete a separate response for toxoplasmosis, Pneumocystis pneumonia, histoplasmosis, chronic diarrhea, oral/esophageal candidiasis, and malnutrition.</t>
  </si>
  <si>
    <t>Overall and domain-level readiness, completeness, gaps, status, and three high-level dashboard visuals.</t>
  </si>
  <si>
    <t>Six scoring lines per parent question are required unless an individual condition is documented as N/A.</t>
  </si>
  <si>
    <t>36 scorable OI units embedded in the Checklist</t>
  </si>
  <si>
    <t>Enter responses only on the six OI lines; do not overwrite parent formulas.</t>
  </si>
  <si>
    <t>Readiness_Dashboard</t>
  </si>
  <si>
    <t>Optional priority comments by domain.</t>
  </si>
  <si>
    <t>Overall and domain-level readiness, completeness, gaps, status, and chart.</t>
  </si>
  <si>
    <t>Interpret color and text status together; color alone is not the decision rule.</t>
  </si>
  <si>
    <t>141 total scorable units</t>
  </si>
  <si>
    <t>N/A is excluded from the readiness denominator but counts as a completed response.</t>
  </si>
  <si>
    <t>Action_Plan</t>
  </si>
  <si>
    <t>P1 gaps require urgent action and override a high percentage score.</t>
  </si>
  <si>
    <t>Consolidated gap register</t>
  </si>
  <si>
    <t>Recommended due dates: P1 30 days, P2 90 days, P3 180 days.</t>
  </si>
  <si>
    <t>IP report workbook</t>
  </si>
  <si>
    <t>Transfer each domain’s applicable units and readiness percentage, plus P1 gaps, N/A, and missing responses.</t>
  </si>
  <si>
    <t>Weighted site, regional, and national readiness dashboards.</t>
  </si>
  <si>
    <t>Applicable units + N/A + missing must equal 141 for each site.</t>
  </si>
  <si>
    <t>Partner reporting dashboard</t>
  </si>
  <si>
    <t>Use one row per assessed site on the appropriate region sheet.</t>
  </si>
  <si>
    <t>Scoring methodology</t>
  </si>
  <si>
    <t>Variable</t>
  </si>
  <si>
    <t>Location</t>
  </si>
  <si>
    <t>Allowed values / formula</t>
  </si>
  <si>
    <t>Numerator contribution</t>
  </si>
  <si>
    <t>Denominator contribution</t>
  </si>
  <si>
    <t>Interpretation</t>
  </si>
  <si>
    <t>User action</t>
  </si>
  <si>
    <t>Response</t>
  </si>
  <si>
    <t>Checklist F — all scorable lines</t>
  </si>
  <si>
    <t>Yes, Partial, No, N/A</t>
  </si>
  <si>
    <t>Yes = 1; Partial/No = 0; N/A/blank = 0</t>
  </si>
  <si>
    <t>Yes/Partial/No = 1; N/A/blank = 0</t>
  </si>
  <si>
    <t>Readiness measures the proportion fully ready among applicable assessed units.</t>
  </si>
  <si>
    <t>Select from dropdown.</t>
  </si>
  <si>
    <t>Domain 7 parent score</t>
  </si>
  <si>
    <t>Checklist J–K for parent items 7.1–7.6</t>
  </si>
  <si>
    <t>Sum of the six OI scoring lines immediately below each parent question</t>
  </si>
  <si>
    <t>Number of Yes sub-responses (0–6)</t>
  </si>
  <si>
    <t>Number of applicable sub-responses (0–6)</t>
  </si>
  <si>
    <t>Each sub-response contributes equally to its parent question and Domain 7 score.</t>
  </si>
  <si>
    <t>Complete the six embedded OI lines; do not type over parent formulas.</t>
  </si>
  <si>
    <t>Readiness %</t>
  </si>
  <si>
    <t>Dashboard</t>
  </si>
  <si>
    <t>Ready units ÷ applicable units</t>
  </si>
  <si>
    <t>Sum of Yes units</t>
  </si>
  <si>
    <t>Sum of Yes + Partial + No units</t>
  </si>
  <si>
    <t>N/A is excluded; Partial is not counted as fully ready.</t>
  </si>
  <si>
    <t>Review by domain and overall.</t>
  </si>
  <si>
    <t>Data completeness %</t>
  </si>
  <si>
    <t>(141 − missing responses) ÷ 141</t>
  </si>
  <si>
    <t>Completed responses</t>
  </si>
  <si>
    <t>141 total response units</t>
  </si>
  <si>
    <t>N/A counts as completed; blanks are missing.</t>
  </si>
  <si>
    <t>Complete all blanks before finalizing.</t>
  </si>
  <si>
    <t>P1 gap</t>
  </si>
  <si>
    <t>P1 item marked Partial or No</t>
  </si>
  <si>
    <t>—</t>
  </si>
  <si>
    <t>Critical mortality/client-safety readiness risk.</t>
  </si>
  <si>
    <t>Resolve urgently; P1 gaps override score-based “ready” status.</t>
  </si>
  <si>
    <t>Recommended target date</t>
  </si>
  <si>
    <t>Assessment date + priority days</t>
  </si>
  <si>
    <t>P1 = 30 days; P2 = 90 days; P3 = 180 days.</t>
  </si>
  <si>
    <t>Use manual due date if a locally agreed date is different.</t>
  </si>
  <si>
    <t>Performance thresholds and color key</t>
  </si>
  <si>
    <t>Band</t>
  </si>
  <si>
    <t>Range / rule</t>
  </si>
  <si>
    <t>Color</t>
  </si>
  <si>
    <t>Readiness interpretation</t>
  </si>
  <si>
    <t>Required management response</t>
  </si>
  <si>
    <t>P1 rule</t>
  </si>
  <si>
    <t>Completeness rule</t>
  </si>
  <si>
    <t>Ready</t>
  </si>
  <si>
    <t>90–100%</t>
  </si>
  <si>
    <t>Green</t>
  </si>
  <si>
    <t>High readiness.</t>
  </si>
  <si>
    <t>Maintain, monitor, and close residual noncritical gaps.</t>
  </si>
  <si>
    <t>No unresolved P1 gaps.</t>
  </si>
  <si>
    <t>No missing responses.</t>
  </si>
  <si>
    <t>Substantially ready</t>
  </si>
  <si>
    <t>80–89.9%</t>
  </si>
  <si>
    <t>Yellow</t>
  </si>
  <si>
    <t>Most requirements are fully ready; targeted improvement remains.</t>
  </si>
  <si>
    <t>Implement and verify targeted actions.</t>
  </si>
  <si>
    <t>Partially ready</t>
  </si>
  <si>
    <t>60–79.9%</t>
  </si>
  <si>
    <t>Amber</t>
  </si>
  <si>
    <t>Material readiness gaps remain.</t>
  </si>
  <si>
    <t>Formal improvement plan, owner, and follow-up required.</t>
  </si>
  <si>
    <t>Critical readiness gap</t>
  </si>
  <si>
    <t>&lt;60% or any P1 gap</t>
  </si>
  <si>
    <t>Red</t>
  </si>
  <si>
    <t>Immediate readiness risk.</t>
  </si>
  <si>
    <t>Urgent corrective action and escalation.</t>
  </si>
  <si>
    <t>Any P1 gap makes status critical regardless of score.</t>
  </si>
  <si>
    <t>Score should not be finalized with missing responses.</t>
  </si>
  <si>
    <t>Incomplete / no data</t>
  </si>
  <si>
    <t>Missing responses or no applicable denominator</t>
  </si>
  <si>
    <t>Gray</t>
  </si>
  <si>
    <t>Assessment cannot yet be interpreted.</t>
  </si>
  <si>
    <t>Complete or correct data.</t>
  </si>
  <si>
    <t>Not assessed until complete.</t>
  </si>
  <si>
    <t>Missing responses must be zero.</t>
  </si>
  <si>
    <t>Priority codes</t>
  </si>
  <si>
    <t>Priority</t>
  </si>
  <si>
    <t>Risk level</t>
  </si>
  <si>
    <t>Recommended correction timeframe</t>
  </si>
  <si>
    <t>Examples</t>
  </si>
  <si>
    <t>Escalation</t>
  </si>
  <si>
    <t>Tracking requirement</t>
  </si>
  <si>
    <t>Status implication</t>
  </si>
  <si>
    <t>P1</t>
  </si>
  <si>
    <t>Critical client-safety or mortality risk</t>
  </si>
  <si>
    <t>Within 30 days</t>
  </si>
  <si>
    <t>Absent critical diagnostic/referral/treatment function.</t>
  </si>
  <si>
    <t>Immediate facility and partner escalation.</t>
  </si>
  <si>
    <t>Named owner, due date, and verification evidence.</t>
  </si>
  <si>
    <t>Any unresolved P1 gap = critical status.</t>
  </si>
  <si>
    <t>P2</t>
  </si>
  <si>
    <t>Service reliability or scale-up gap</t>
  </si>
  <si>
    <t>Within 90 days</t>
  </si>
  <si>
    <t>Inconsistent availability, incomplete process, or weak coverage.</t>
  </si>
  <si>
    <t>Review in routine improvement meeting.</t>
  </si>
  <si>
    <t>Owner and follow-up date required.</t>
  </si>
  <si>
    <t>Affects percentage-based status.</t>
  </si>
  <si>
    <t>P3</t>
  </si>
  <si>
    <t>Optimization or sustainability action</t>
  </si>
  <si>
    <t>Within 180 days</t>
  </si>
  <si>
    <t>Longer-term system strengthening.</t>
  </si>
  <si>
    <t>Track through routine QI.</t>
  </si>
  <si>
    <t>Document progress and closure.</t>
  </si>
  <si>
    <t>The workbook contains 111 parent questions and 141 scorable response units. In Domain 7, each parent question is immediately followed by six condition-specific scoring lines; parent totals are summaries and are not scored again.</t>
  </si>
  <si>
    <t>AHD Site Readiness Assessment Tool</t>
  </si>
  <si>
    <t>Facility profile, service entry points, critical checks, and automatic score summary</t>
  </si>
  <si>
    <t>Facility profile and assessment record</t>
  </si>
  <si>
    <t>Facility / site name</t>
  </si>
  <si>
    <t>DAMA facility ID / site code</t>
  </si>
  <si>
    <t>Region</t>
  </si>
  <si>
    <t>Health district</t>
  </si>
  <si>
    <t>Facility level</t>
  </si>
  <si>
    <t>Assessment date</t>
  </si>
  <si>
    <t>Site tier</t>
  </si>
  <si>
    <t>Number of clients currently on ART (TX_CURR)</t>
  </si>
  <si>
    <t>Assessment team / assessor(s)</t>
  </si>
  <si>
    <t>Implementing partner</t>
  </si>
  <si>
    <t>Assessed?</t>
  </si>
  <si>
    <t>Minimum high-priority readiness checks</t>
  </si>
  <si>
    <t>Ready?</t>
  </si>
  <si>
    <t>Evidence / comments</t>
  </si>
  <si>
    <t>HIV testing</t>
  </si>
  <si>
    <t>AHD identification: rapid CD4 testing (including VISITECT where used) or WHO staging is accessible, documented the same day, and linked to clinical action.</t>
  </si>
  <si>
    <t>ART clinic</t>
  </si>
  <si>
    <t>TB screening and diagnosis: symptom screening plus GeneXpert or another WHO-recommended low-complexity automated NAAT, N-POC/NPOC-NAAT where implemented, sample transport, and urine LF-LAM for eligible AHD or seriously ill clients.</t>
  </si>
  <si>
    <t>TB clinic</t>
  </si>
  <si>
    <t>Cryptococcal disease: CrAg access, fluconazole/pre-emptive treatment, meningitis referral, lumbar-puncture pathway, and ART-delay SOP.</t>
  </si>
  <si>
    <t>PMTCT/MCH</t>
  </si>
  <si>
    <t>Core prophylaxis, treatment, nutrition, and supportive-care commodities are available on site or through a documented referral/resupply pathway.</t>
  </si>
  <si>
    <t>OPD/emergency</t>
  </si>
  <si>
    <t>Referral, discharge, early follow-up, missed-visit tracking, and DAMA documentation are active and confidentiality-protected.</t>
  </si>
  <si>
    <t>Inpatient ward</t>
  </si>
  <si>
    <t>Pediatric/adolescent clinic</t>
  </si>
  <si>
    <t>Laboratory</t>
  </si>
  <si>
    <t>Pharmacy</t>
  </si>
  <si>
    <t>Community/home-based services</t>
  </si>
  <si>
    <t>Automatic score summary</t>
  </si>
  <si>
    <t>Overall readiness %</t>
  </si>
  <si>
    <t>P1 gaps</t>
  </si>
  <si>
    <t>All gaps</t>
  </si>
  <si>
    <t>Missing responses</t>
  </si>
  <si>
    <t>Critical checks status</t>
  </si>
  <si>
    <t>Readiness status</t>
  </si>
  <si>
    <t>AHD Site Readiness Dashboard</t>
  </si>
  <si>
    <t>Metric</t>
  </si>
  <si>
    <t>Value</t>
  </si>
  <si>
    <t>Definition</t>
  </si>
  <si>
    <t>Performance band</t>
  </si>
  <si>
    <t>Threshold / rule</t>
  </si>
  <si>
    <t>Total ready units ÷ total applicable units</t>
  </si>
  <si>
    <t>90–100%, complete, and no unresolved P1 gaps</t>
  </si>
  <si>
    <t>High readiness; maintain and monitor</t>
  </si>
  <si>
    <t>Applicable units assessed</t>
  </si>
  <si>
    <t>Yes + Partial + No; maximum equals the total scorable units (currently 141)</t>
  </si>
  <si>
    <t>80–89.9%, complete, and no unresolved P1 gaps</t>
  </si>
  <si>
    <t>Targeted improvements required</t>
  </si>
  <si>
    <t>(Total scorable units − missing responses) ÷ total scorable units</t>
  </si>
  <si>
    <t>60–79.9%, complete, and no unresolved P1 gaps</t>
  </si>
  <si>
    <t>Improvement plan and follow-up required</t>
  </si>
  <si>
    <t>P1 sub/items marked Partial or No</t>
  </si>
  <si>
    <t>&lt;60% or any unresolved P1 gap</t>
  </si>
  <si>
    <t>Urgent corrective action required</t>
  </si>
  <si>
    <t>All Partial and No findings</t>
  </si>
  <si>
    <t>Missing responses, failed unit check, or no denominator</t>
  </si>
  <si>
    <t>Complete or correct the assessment before interpretation</t>
  </si>
  <si>
    <t>Blank responses requiring completion</t>
  </si>
  <si>
    <t>N/A units</t>
  </si>
  <si>
    <t>Completed but excluded from readiness denominator</t>
  </si>
  <si>
    <t>Requires complete data and no unresolved P1 gaps</t>
  </si>
  <si>
    <t>Domain #</t>
  </si>
  <si>
    <t>Domain</t>
  </si>
  <si>
    <t>Assessment units</t>
  </si>
  <si>
    <t>Yes</t>
  </si>
  <si>
    <t>Partial</t>
  </si>
  <si>
    <t>No</t>
  </si>
  <si>
    <t>N/A</t>
  </si>
  <si>
    <t>Missing</t>
  </si>
  <si>
    <t>Applicable assessed</t>
  </si>
  <si>
    <t>P2/P3 gaps</t>
  </si>
  <si>
    <t>Performance status</t>
  </si>
  <si>
    <t>Priority actions / comments</t>
  </si>
  <si>
    <t>Governance, service model and accountability</t>
  </si>
  <si>
    <t>Screening, early detection and identification of clients with AHD</t>
  </si>
  <si>
    <t>Triage, danger signs, emergency stabilization and referral</t>
  </si>
  <si>
    <t>CD4, laboratory and diagnostic network readiness</t>
  </si>
  <si>
    <t>Tuberculosis screening, diagnosis, prevention and treatment</t>
  </si>
  <si>
    <t>Cryptococcal disease screening, diagnosis, treatment and follow-up</t>
  </si>
  <si>
    <t>Toxoplasmosis and other opportunistic infections readiness</t>
  </si>
  <si>
    <t>Severe bacterial infection, meningitis, pneumonia and sepsis readiness</t>
  </si>
  <si>
    <t>Kaposi’s sarcoma and malignancy care readiness</t>
  </si>
  <si>
    <t>ART initiation, reinitiation, switching and adherence support</t>
  </si>
  <si>
    <t>Prevention package, vaccination, nutrition and client safety</t>
  </si>
  <si>
    <t>Pediatric, adolescent, maternity/PMTCT and family-centered services</t>
  </si>
  <si>
    <t>Pharmacy, commodities and supply-chain readiness</t>
  </si>
  <si>
    <t>Discharge, follow-up, retention and community linkage</t>
  </si>
  <si>
    <t>Data, monitoring, quality improvement and mortality review</t>
  </si>
  <si>
    <t>Human resources, training, supervision and job aids</t>
  </si>
  <si>
    <t>TOTAL</t>
  </si>
  <si>
    <t>All domains</t>
  </si>
  <si>
    <t>Visual Summary — updates automatically from the Checklist</t>
  </si>
  <si>
    <t>Interpretation note: Final readiness status requires complete data and no unresolved P1 gaps. N/A responses count as complete but are excluded from the readiness denominator. OI parent rows are summaries only and are never scored twice.</t>
  </si>
  <si>
    <t>Additional Visual — assessment response composition by domain</t>
  </si>
  <si>
    <t>Facility Preparedness Checklist — 111 Parent Questions / 141 Scorable Response Units (OI sub-responses embedded)</t>
  </si>
  <si>
    <t>Item no.</t>
  </si>
  <si>
    <t>Pr.</t>
  </si>
  <si>
    <t>Preparedness requirement</t>
  </si>
  <si>
    <t>Evidence / notes</t>
  </si>
  <si>
    <t>Ready units / score</t>
  </si>
  <si>
    <t>Applicable units</t>
  </si>
  <si>
    <t>Gap flag</t>
  </si>
  <si>
    <t>Priority days</t>
  </si>
  <si>
    <t>Validation</t>
  </si>
  <si>
    <t>Gap #</t>
  </si>
  <si>
    <t>Question readiness %</t>
  </si>
  <si>
    <t>1.1</t>
  </si>
  <si>
    <t>Facility has a written AHD/OI service SOP aligned with national guidance and current WHO AHD recommendations.</t>
  </si>
  <si>
    <t>1.2</t>
  </si>
  <si>
    <t>The SOP defines which AHD/OI services are provided on site, which are referred, and the responsible receiving hub for each service.</t>
  </si>
  <si>
    <t>1.3</t>
  </si>
  <si>
    <t>A same-day AHD pathway exists from HIV diagnosis or re-entry to clinical review, CD4/WHO staging, OI screening, prophylaxis/treatment decisions and follow-up booking.</t>
  </si>
  <si>
    <t>1.4</t>
  </si>
  <si>
    <t>Facility leadership reviews AHD/OI readiness at least quarterly and assigns owners for unresolved gaps.</t>
  </si>
  <si>
    <t>1.5</t>
  </si>
  <si>
    <t>The facility has visible client-flow/job aids for AHD entry points: HIV testing, ART, TB, PMTCT/MCH, inpatient/emergency/OPD, pediatrics and community return-to-care.</t>
  </si>
  <si>
    <t>1.6</t>
  </si>
  <si>
    <t>Confidentiality, consent, stigma-reduction and respectful-care expectations are included in AHD/OI workflows.</t>
  </si>
  <si>
    <t>2.1</t>
  </si>
  <si>
    <t>Staff use the WHO AHD definition: CD4 &lt;=200 cells/mm3 for adults, adolescents and children &gt;=5 years.</t>
  </si>
  <si>
    <t>2.2</t>
  </si>
  <si>
    <t>Children &lt;5 years living with HIV are treated as having AHD unless on ART for &gt;1 year and clinically stable.</t>
  </si>
  <si>
    <t>2.3</t>
  </si>
  <si>
    <t>Where CD4 is not available, WHO clinical stage 3 or 4 at presentation is used to identify AHD.</t>
  </si>
  <si>
    <t>2.4</t>
  </si>
  <si>
    <t>CD4 testing or clinical staging is triggered for all newly diagnosed clients, clients returning after interruption, clients with suspected/confirmed treatment failure and seriously ill PLHIV.</t>
  </si>
  <si>
    <t>2.5</t>
  </si>
  <si>
    <t>ART interruption, missed visits, high viral load, prior OI, weight loss or severe symptoms are flagged as high-risk re-entry triggers.</t>
  </si>
  <si>
    <t>2.6</t>
  </si>
  <si>
    <t>AHD status is documented clearly in the clinical record/register/DAMA and visible to clinicians, pharmacy and follow-up teams.</t>
  </si>
  <si>
    <t>2.7</t>
  </si>
  <si>
    <t>The facility has a procedure to prevent clients with suspected AHD from leaving before OI screening, prophylaxis/treatment decisions and follow-up are completed.</t>
  </si>
  <si>
    <t>3.1</t>
  </si>
  <si>
    <t>Triage staff identify serious illness in adults/adolescents, including respiratory rate &gt;=30/min, heart rate &gt;=120/min, temperature &gt;=39 C or unable to walk unaided.</t>
  </si>
  <si>
    <t>3.2</t>
  </si>
  <si>
    <t>Staff recognize urgent symptoms of meningitis, severe pneumonia, sepsis, hypoxia, severe anemia, severe dehydration, seizures, altered mental status and severe malnutrition.</t>
  </si>
  <si>
    <t>3.3</t>
  </si>
  <si>
    <t>Emergency assessment and stabilization supplies are available at the appropriate facility level: pulse oximeter, thermometer, BP cuff, oxygen pathway, IV access, fluids and basic resuscitation supplies.</t>
  </si>
  <si>
    <t>3.4</t>
  </si>
  <si>
    <t>Referral criteria are written and visible for lumbar puncture, oxygen/IV medicines, radiology, inpatient monitoring, chemotherapy/oncology and specialist pediatric care.</t>
  </si>
  <si>
    <t>3.5</t>
  </si>
  <si>
    <t>Transport/referral arrangements include contact numbers, referral forms, transfer notes and escalation options after hours.</t>
  </si>
  <si>
    <t>3.6</t>
  </si>
  <si>
    <t>Back-referral communication confirms diagnosis, medicines started, pending results, follow-up appointment and danger signs requiring urgent return.</t>
  </si>
  <si>
    <t>3.7</t>
  </si>
  <si>
    <t>AHD/OI emergency cases are reviewed in morbidity/mortality or QI meetings when referral delays, stock-outs or avoidable deterioration occur.</t>
  </si>
  <si>
    <t>4.1</t>
  </si>
  <si>
    <t>CD4 testing is available on site or through a functioning sample transport/result-return system with defined turnaround time.</t>
  </si>
  <si>
    <t>4.2</t>
  </si>
  <si>
    <t>The facility can collect, test or track specimens for WHO-recommended rapid molecular TB tests, including GeneXpert/low-complexity automated NAAT and N-POC/NPOC-NAAT where implemented, urine LF-LAM, CrAg and other OI tests appropriate to service level and epidemiology.</t>
  </si>
  <si>
    <t>4.3</t>
  </si>
  <si>
    <t>Critical results are communicated rapidly to clinicians and documented in the client record and AHD register/DAMA.</t>
  </si>
  <si>
    <t>4.4</t>
  </si>
  <si>
    <t>Specimen collection areas protect privacy and infection prevention, including urine collection for LF-LAM and sputum collection for TB testing.</t>
  </si>
  <si>
    <t>4.5</t>
  </si>
  <si>
    <t>Quality assurance procedures are in place for point-of-care tests, including staff competency, storage temperatures, lot/expiry checks and external/internal QC where required.</t>
  </si>
  <si>
    <t>4.6</t>
  </si>
  <si>
    <t>Safety monitoring tests or referral pathways are available for medicines used in AHD/OI care, including hemoglobin, renal function, liver function and electrolytes where indicated.</t>
  </si>
  <si>
    <t>4.7</t>
  </si>
  <si>
    <t>There is a log for specimens sent, results received, abnormal/positive results, client notification and treatment linkage.</t>
  </si>
  <si>
    <t>5.1</t>
  </si>
  <si>
    <t>All PLHIV are systematically screened for TB at each health-care visit.</t>
  </si>
  <si>
    <t>5.2</t>
  </si>
  <si>
    <t>Adults/adolescents are screened using the WHO four-symptom screen: current cough, fever, weight loss or night sweats.</t>
  </si>
  <si>
    <t>5.3</t>
  </si>
  <si>
    <t>Adults/adolescents with HIV who have symptoms, screen positive, are seriously ill or have AHD receive concurrent TB testing with GeneXpert or another WHO-recommended low-complexity automated NAAT, N-POC/NPOC-NAAT where implemented, and urine LF-LAM where indicated.</t>
  </si>
  <si>
    <t>5.4</t>
  </si>
  <si>
    <t>A positive LF-LAM, GeneXpert, low-complexity automated NAAT or N-POC/NPOC-NAAT result triggers immediate TB treatment linkage and appropriate drug-resistance evaluation per national guidance.</t>
  </si>
  <si>
    <t>5.5</t>
  </si>
  <si>
    <t>Children with HIV are screened using age-appropriate symptoms and have access to respiratory and/or stool GeneXpert or other WHO-recommended NAAT pathways, N-POC/NPOC-NAAT where implemented, and urine LF-LAM where indicated.</t>
  </si>
  <si>
    <t>5.6</t>
  </si>
  <si>
    <t>TB preventive treatment is available for eligible PLHIV after TB disease is ruled out; regimen choice follows national guidance.</t>
  </si>
  <si>
    <t>5.7</t>
  </si>
  <si>
    <t>ART timing guidance is available for TB: start ART as soon as possible and within two weeks of TB treatment unless meningitis is suspected/confirmed or national guidance indicates otherwise.</t>
  </si>
  <si>
    <t>5.8</t>
  </si>
  <si>
    <t>The facility has TB infection prevention procedures for cough triage, separation/ventilation, masks and sputum collection.</t>
  </si>
  <si>
    <t>5.9</t>
  </si>
  <si>
    <t>TB/HIV co-management responsibilities, referral and follow-up are clearly assigned between HIV and TB services.</t>
  </si>
  <si>
    <t>6.1</t>
  </si>
  <si>
    <t>CrAg screening or referral is available for adults/adolescents and eligible clients with AHD before ART initiation or reinitiation, according to national/WHO guidance.</t>
  </si>
  <si>
    <t>6.2</t>
  </si>
  <si>
    <t>All CrAg-positive clients are assessed for headache, neck stiffness, fever, confusion, visual symptoms, seizures or other signs of meningitis.</t>
  </si>
  <si>
    <t>6.3</t>
  </si>
  <si>
    <t>Suspected cryptococcal meningitis has a rapid referral pathway for lumbar puncture, CSF CrAg/India ink/culture as available and CSF opening-pressure management.</t>
  </si>
  <si>
    <t>6.4</t>
  </si>
  <si>
    <t>Fluconazole is available for pre-emptive treatment/prophylaxis or maintenance according to national protocols.</t>
  </si>
  <si>
    <t>6.5</t>
  </si>
  <si>
    <t>Hospital/hub pathway provides access to recommended cryptococcal meningitis induction regimens or safe alternatives, including amphotericin formulation and flucytosine where available.</t>
  </si>
  <si>
    <t>6.6</t>
  </si>
  <si>
    <t>Medicine safety monitoring is available for cryptococcal meningitis treatment, including renal function, electrolytes, hemoglobin, IV fluids and electrolyte replacement at hub level.</t>
  </si>
  <si>
    <t>6.7</t>
  </si>
  <si>
    <t>ART timing SOP states that ART is deferred 4-6 weeks after starting antifungal treatment for cryptococcal meningitis.</t>
  </si>
  <si>
    <t>6.8</t>
  </si>
  <si>
    <t>Clients treated for cryptococcal disease have documented consolidation/maintenance plan, appointment schedule, adherence support and criteria for referral back.</t>
  </si>
  <si>
    <t>6.9</t>
  </si>
  <si>
    <t>CrAg testing, positive results, treatment initiation, referral completion and outcomes are monitored monthly.</t>
  </si>
  <si>
    <t>7.1</t>
  </si>
  <si>
    <t>Staff can recognize and promptly assess the clinical features and danger signs associated with:</t>
  </si>
  <si>
    <t>Complete the six condition-specific scoring lines immediately below. The parent total is calculated automatically and is not scored again.</t>
  </si>
  <si>
    <t>7.1.1</t>
  </si>
  <si>
    <t>7.1.2</t>
  </si>
  <si>
    <t>7.1.3</t>
  </si>
  <si>
    <t>7.1.4</t>
  </si>
  <si>
    <t>7.1.5</t>
  </si>
  <si>
    <t>7.1.6</t>
  </si>
  <si>
    <t>7.2</t>
  </si>
  <si>
    <t>Appropriate diagnostic tests, clinical assessment tools, specimen referral and result-return pathways are available for:</t>
  </si>
  <si>
    <t>7.2.1</t>
  </si>
  <si>
    <t>7.2.2</t>
  </si>
  <si>
    <t>7.2.3</t>
  </si>
  <si>
    <t>7.2.4</t>
  </si>
  <si>
    <t>7.2.5</t>
  </si>
  <si>
    <t>7.2.6</t>
  </si>
  <si>
    <t>7.3</t>
  </si>
  <si>
    <t>Current treatment, prophylaxis where applicable, stabilization and referral protocols are available and used for:</t>
  </si>
  <si>
    <t>7.3.1</t>
  </si>
  <si>
    <t>7.3.2</t>
  </si>
  <si>
    <t>7.3.3</t>
  </si>
  <si>
    <t>7.3.4</t>
  </si>
  <si>
    <t>7.3.5</t>
  </si>
  <si>
    <t>7.3.6</t>
  </si>
  <si>
    <t>7.4</t>
  </si>
  <si>
    <t>Essential medicines, supplies, nutrition commodities and supportive-care inputs are available on site or through a documented referral or resupply pathway for:</t>
  </si>
  <si>
    <t>7.4.1</t>
  </si>
  <si>
    <t>7.4.2</t>
  </si>
  <si>
    <t>7.4.3</t>
  </si>
  <si>
    <t>7.4.4</t>
  </si>
  <si>
    <t>7.4.5</t>
  </si>
  <si>
    <t>7.4.6</t>
  </si>
  <si>
    <t>7.5</t>
  </si>
  <si>
    <t>Follow-up, adherence or supportive care, treatment response and referral completion are documented for each priority opportunistic infection or condition in the clinical record and DAMA where applicable:</t>
  </si>
  <si>
    <t>7.5.1</t>
  </si>
  <si>
    <t>Toxoplasmosis</t>
  </si>
  <si>
    <t>7.5.2</t>
  </si>
  <si>
    <t>Pneumocystis pneumonia</t>
  </si>
  <si>
    <t>7.5.3</t>
  </si>
  <si>
    <t>Histoplasmosis</t>
  </si>
  <si>
    <t>7.5.4</t>
  </si>
  <si>
    <t>Chronic diarrhea</t>
  </si>
  <si>
    <t>7.5.5</t>
  </si>
  <si>
    <t>Oral/esophageal candidiasis</t>
  </si>
  <si>
    <t>7.5.6</t>
  </si>
  <si>
    <t>Malnutrition</t>
  </si>
  <si>
    <t>7.6</t>
  </si>
  <si>
    <t>Staff competency, job aids, case review, monitoring and quality-improvement processes cover each priority opportunistic infection or condition:</t>
  </si>
  <si>
    <t>7.6.1</t>
  </si>
  <si>
    <t>7.6.2</t>
  </si>
  <si>
    <t>7.6.3</t>
  </si>
  <si>
    <t>7.6.4</t>
  </si>
  <si>
    <t>7.6.5</t>
  </si>
  <si>
    <t>7.6.6</t>
  </si>
  <si>
    <t>8.1</t>
  </si>
  <si>
    <t>Facility has protocols for suspected bacterial meningitis, sepsis, severe pneumonia, dehydration, hypoxia and shock in adults, adolescents and children with AHD.</t>
  </si>
  <si>
    <t>8.2</t>
  </si>
  <si>
    <t>Empiric antibiotic access or referral pathway is defined for suspected acute bacterial meningitis and severe bacterial infection.</t>
  </si>
  <si>
    <t>8.3</t>
  </si>
  <si>
    <t>Blood culture, CSF testing, chest imaging and other diagnostics are available on site or through referral according to facility level.</t>
  </si>
  <si>
    <t>8.4</t>
  </si>
  <si>
    <t>Oxygen, pulse oximetry and emergency referral are available for clients with respiratory distress or hypoxia.</t>
  </si>
  <si>
    <t>8.5</t>
  </si>
  <si>
    <t>Staff know when to delay ART pending meningitis evaluation and when to seek senior HIV/TB/infectious disease advice.</t>
  </si>
  <si>
    <t>8.6</t>
  </si>
  <si>
    <t>Antimicrobial stewardship and pharmacovigilance processes record severe adverse drug reactions, toxicity and antibiotic use.</t>
  </si>
  <si>
    <t>9.1</t>
  </si>
  <si>
    <t>Staff routinely screen for skin/oral Kaposi’s sarcoma lesions, edema, ulcerated tumors, respiratory symptoms, GI bleeding symptoms and functional impairment.</t>
  </si>
  <si>
    <t>9.2</t>
  </si>
  <si>
    <t>Facility can distinguish likely mild/moderate from severe or symptomatic Kaposi’s sarcoma and document disease extent.</t>
  </si>
  <si>
    <t>9.3</t>
  </si>
  <si>
    <t>Immediate ART initiation is available for clients with mild/moderate Kaposi’s sarcoma unless another condition requires ART delay.</t>
  </si>
  <si>
    <t>9.4</t>
  </si>
  <si>
    <t>Severe or symptomatic Kaposi’s sarcoma has a rapid referral pathway for systemic chemotherapy/oncology while ART is initiated or continued.</t>
  </si>
  <si>
    <t>9.5</t>
  </si>
  <si>
    <t>Referral linkage tracks appointment completion, treatment start, treatment interruption and return-to-care after oncology visits.</t>
  </si>
  <si>
    <t>9.6</t>
  </si>
  <si>
    <t>Palliative care, wound care, pain control and psychosocial support are available or linked for clients with advanced malignancy.</t>
  </si>
  <si>
    <t>10.1</t>
  </si>
  <si>
    <t>Rapid ART initiation/reinitiation is available for clients with AHD alongside OI screening, prevention and treatment decisions.</t>
  </si>
  <si>
    <t>10.2</t>
  </si>
  <si>
    <t>ART delay exceptions are clearly written for cryptococcal meningitis, TB meningitis and other conditions requiring senior clinical review.</t>
  </si>
  <si>
    <t>10.3</t>
  </si>
  <si>
    <t>Clients returning after interruption receive same-day clinical assessment, ART reinitiation plan, adherence counselling and OI screening.</t>
  </si>
  <si>
    <t>10.4</t>
  </si>
  <si>
    <t>Clients on ART &gt;6 months who are unwell have adherence review and viral load testing where available; elevated viral load triggers action per regimen/national guidance.</t>
  </si>
  <si>
    <t>10.5</t>
  </si>
  <si>
    <t>Staff review drug-drug interactions and toxicity risks for ART, TB medicines, antifungals, anticonvulsants, chemotherapy and other OI medicines.</t>
  </si>
  <si>
    <t>10.6</t>
  </si>
  <si>
    <t>Adherence support includes treatment literacy, side-effect counselling, pill-burden planning, mental health/substance-use referral and peer/community support where available.</t>
  </si>
  <si>
    <t>10.7</t>
  </si>
  <si>
    <t>Counselling materials are understandable to clients and caregivers and include danger signs and when to seek urgent care.</t>
  </si>
  <si>
    <t>11.1</t>
  </si>
  <si>
    <t>The AHD package includes screening, treatment and/or prophylaxis for major OIs, rapid ART when safe, and intensified adherence support.</t>
  </si>
  <si>
    <t>11.2</t>
  </si>
  <si>
    <t>Eligible clients receive co-trimoxazole, TB preventive treatment, fluconazole/pre-emptive treatment or other prophylaxis according to national guidance.</t>
  </si>
  <si>
    <t>11.3</t>
  </si>
  <si>
    <t>Vaccination status is reviewed, including BCG precautions for children living with HIV and other vaccines per national guidance.</t>
  </si>
  <si>
    <t>11.4</t>
  </si>
  <si>
    <t>Nutrition assessment and support are available, including weight/BMI or MUAC, food insecurity screening, malnutrition referral and therapeutic feeding pathway when indicated.</t>
  </si>
  <si>
    <t>11.5</t>
  </si>
  <si>
    <t>Prevention counselling covers OI danger signs, TB exposure, medicine adherence, safer sex, disclosure support where desired and family/partner testing options.</t>
  </si>
  <si>
    <t>11.6</t>
  </si>
  <si>
    <t>Facility ensures safe water, sanitation, hand hygiene, clean clinical areas and sharps/waste management for immunocompromised clients.</t>
  </si>
  <si>
    <t>12.1</t>
  </si>
  <si>
    <t>Pediatric AHD criteria are applied consistently and children &lt;5 years living with HIV are not missed.</t>
  </si>
  <si>
    <t>12.2</t>
  </si>
  <si>
    <t>Pediatric ART and OI medicine formulations, dosing tools, weight scales, MUAC tape and caregiver counselling materials are available.</t>
  </si>
  <si>
    <t>12.3</t>
  </si>
  <si>
    <t>Children with AHD are screened for TB, severe pneumonia, severe bacterial infection, malnutrition and symptomatic meningitis/OIs.</t>
  </si>
  <si>
    <t>12.4</t>
  </si>
  <si>
    <t>Adolescent services protect confidentiality and provide developmentally appropriate adherence, mental health and sexual/reproductive health support.</t>
  </si>
  <si>
    <t>12.5</t>
  </si>
  <si>
    <t>Pregnant and postpartum clients with AHD receive rapid linkage across HIV, TB, maternity/PMTCT, OI and newborn/infant services.</t>
  </si>
  <si>
    <t>12.6</t>
  </si>
  <si>
    <t>Family-centered services include infant/child testing, partner/family testing options, caregiver treatment literacy and appointment coordination.</t>
  </si>
  <si>
    <t>12.7</t>
  </si>
  <si>
    <t>Safeguarding, mental health and social protection referral pathways are available for children, adolescents and pregnant/postpartum clients.</t>
  </si>
  <si>
    <t>13.1</t>
  </si>
  <si>
    <t>Minimum stock levels and reorder points are defined for AHD diagnostics, ART, co-trimoxazole, TPT, fluconazole, TB medicines, antibiotics and pediatric formulations.</t>
  </si>
  <si>
    <t>13.2</t>
  </si>
  <si>
    <t>Critical tracer items are reviewed at least monthly and stock-outs trigger documented mitigation and referral/borrowing procedures.</t>
  </si>
  <si>
    <t>13.3</t>
  </si>
  <si>
    <t>Storage conditions, expiry dates, lot numbers and temperature requirements are monitored for diagnostics and medicines such as LF-LAM, CrAg tests and amphotericin-related supplies.</t>
  </si>
  <si>
    <t>13.4</t>
  </si>
  <si>
    <t>Quantification accounts for new diagnoses, clients returning after interruption, inpatient discharges, treatment failure and expected AHD prevalence.</t>
  </si>
  <si>
    <t>13.5</t>
  </si>
  <si>
    <t>Pharmacy can dispense synchronized refills for ART and OI medicines and flag clients who fail to collect critical medicines.</t>
  </si>
  <si>
    <t>13.6</t>
  </si>
  <si>
    <t>Hub/referral facilities have lumbar puncture, CSF testing, amphotericin administration, electrolyte replacement and safety-monitoring supplies where those services are provided.</t>
  </si>
  <si>
    <t>13.7</t>
  </si>
  <si>
    <t>Adverse drug reactions, medicine substitutions and interruptions are documented and reported through pharmacovigilance systems.</t>
  </si>
  <si>
    <t>14.1</t>
  </si>
  <si>
    <t>Every hospitalized client with HIV/AHD leaves with documented diagnosis, medicines, ART/OI plan, pending results, danger signs and follow-up appointment.</t>
  </si>
  <si>
    <t>14.2</t>
  </si>
  <si>
    <t>Discharge planning includes medication review, adherence plan, counselling, referral/back-referral communication and individualized support needs.</t>
  </si>
  <si>
    <t>14.3</t>
  </si>
  <si>
    <t>Early post-discharge follow-up is scheduled, including phone call, clinic visit and/or home visit where acceptable and safe.</t>
  </si>
  <si>
    <t>14.4</t>
  </si>
  <si>
    <t>Client consent and preferred contact method are documented before phone or home follow-up to protect privacy and confidentiality.</t>
  </si>
  <si>
    <t>14.5</t>
  </si>
  <si>
    <t>Community health workers, peer supporters or case managers are linked to AHD clients at high risk of death, readmission or loss to follow-up.</t>
  </si>
  <si>
    <t>14.6</t>
  </si>
  <si>
    <t>Missed appointments or missed medicine pickups trigger rapid tracing and fast re-entry without punitive procedures.</t>
  </si>
  <si>
    <t>14.7</t>
  </si>
  <si>
    <t>The facility tracks 30-day post-discharge attendance, readmission, death and loss to follow-up for AHD clients.</t>
  </si>
  <si>
    <t>15.1</t>
  </si>
  <si>
    <t>AHD register/DAMA captures CD4, WHO stage, AHD status, TB screening/testing, LF-LAM, CrAg, OI diagnosis, prophylaxis, ART action, referral and follow-up outcome.</t>
  </si>
  <si>
    <t>15.2</t>
  </si>
  <si>
    <t>Monthly dashboard monitors AHD identification, CD4 coverage, TB screening/testing/treatment, CrAg coverage, OI treatment, stock-outs, hospitalization/discharge, mortality and loss to follow-up.</t>
  </si>
  <si>
    <t>15.3</t>
  </si>
  <si>
    <t>Data definitions align with national tools and WHO/UNAIDS-compatible AHD monitoring indicators where applicable.</t>
  </si>
  <si>
    <t>15.4</t>
  </si>
  <si>
    <t>Positive OI tests and high-risk clients are reconciled against treatment/referral logs to prevent missed treatment starts.</t>
  </si>
  <si>
    <t>15.5</t>
  </si>
  <si>
    <t>Deaths among PLHIV/AHD clients are reviewed for late diagnosis, missed OI screening, stock-out, referral delay, treatment interruption or follow-up gap.</t>
  </si>
  <si>
    <t>15.6</t>
  </si>
  <si>
    <t>QI projects are used to improve turnaround time, same-day package completion, commodity availability, discharge linkage and retention.</t>
  </si>
  <si>
    <t>15.7</t>
  </si>
  <si>
    <t>Facility reports AHD/OI indicators to district/national programme and uses feedback for site-level action.</t>
  </si>
  <si>
    <t>16.1</t>
  </si>
  <si>
    <t>All relevant staff are oriented to AHD definition, entry-point screening, triage danger signs, CD4 interpretation, WHO staging and same-day package flow.</t>
  </si>
  <si>
    <t>16.2</t>
  </si>
  <si>
    <t>Clinicians and nurses are trained in TB screening, LF-LAM, GeneXpert/low-complexity automated NAAT and N-POC/NPOC-NAAT pathways, CrAg screening, meningitis recognition, ART timing and referral criteria.</t>
  </si>
  <si>
    <t>16.3</t>
  </si>
  <si>
    <t>Laboratory staff are trained in specimen handling, point-of-care test quality assurance, result documentation and rapid communication of positive/critical results.</t>
  </si>
  <si>
    <t>16.4</t>
  </si>
  <si>
    <t>Pharmacy staff are trained in AHD commodity management, drug interactions, synchronized dispensing and missed pickup alerts.</t>
  </si>
  <si>
    <t>16.5</t>
  </si>
  <si>
    <t>Pediatric/maternity/community staff are trained in child/adolescent AHD criteria, caregiver counselling, PMTCT linkage and family-centered follow-up.</t>
  </si>
  <si>
    <t>16.6</t>
  </si>
  <si>
    <t>Updated job aids, algorithms, referral contacts and escalation pathways are visible in triage, consultation rooms, laboratory, pharmacy and inpatient wards.</t>
  </si>
  <si>
    <t>16.7</t>
  </si>
  <si>
    <t>Supervision includes direct observation, case review, data review and refresher mentoring after guideline or supply-chain changes.</t>
  </si>
  <si>
    <t>Priority Action Plan</t>
  </si>
  <si>
    <t>Auto-populated gap list</t>
  </si>
  <si>
    <t>User-entered corrective-action tracking</t>
  </si>
  <si>
    <t>Condition</t>
  </si>
  <si>
    <t>Current response</t>
  </si>
  <si>
    <t>Finding / gap</t>
  </si>
  <si>
    <t>Suggested target date</t>
  </si>
  <si>
    <t>Corrective action</t>
  </si>
  <si>
    <t>Due date</t>
  </si>
  <si>
    <t>Staff Training and Competency Matrix</t>
  </si>
  <si>
    <t>Overall training coverage</t>
  </si>
  <si>
    <t>Cadre / role</t>
  </si>
  <si>
    <t>AHD definition &amp; CD4 staging</t>
  </si>
  <si>
    <t>TB screen / LF-LAM / GeneXpert / N-POC</t>
  </si>
  <si>
    <t>CrAg / meningitis pathway</t>
  </si>
  <si>
    <t>ART timing &amp; adherence</t>
  </si>
  <si>
    <t>Pediatric AHD</t>
  </si>
  <si>
    <t>Discharge / follow-up</t>
  </si>
  <si>
    <t>Date refreshed</t>
  </si>
  <si>
    <t>Completion %</t>
  </si>
  <si>
    <t>Nurse / midwife</t>
  </si>
  <si>
    <t>Laboratory staff</t>
  </si>
  <si>
    <t>Pharmacist / dispenser</t>
  </si>
  <si>
    <t>Community health worker</t>
  </si>
  <si>
    <t>Facility manager / QI lead</t>
  </si>
  <si>
    <t>Tracer Commodities and Service-Enabler List</t>
  </si>
  <si>
    <t>Area</t>
  </si>
  <si>
    <t>Tracer diagnostics / equipment</t>
  </si>
  <si>
    <t>Tracer medicines / supplies</t>
  </si>
  <si>
    <t>Minimum verification evidence</t>
  </si>
  <si>
    <t>Responsible person</t>
  </si>
  <si>
    <t>AHD identification</t>
  </si>
  <si>
    <t>CD4 point-of-care device or sample transport; WHO staging job aid; HIV test kits for unknown status.</t>
  </si>
  <si>
    <t>ART initiation/reinitiation packs; counselling materials.</t>
  </si>
  <si>
    <t>Stock cards, result logs, SOP, recent sample-to-result turnaround review.</t>
  </si>
  <si>
    <t>TB</t>
  </si>
  <si>
    <t>WHO-recommended rapid molecular TB testing: GeneXpert/low-complexity automated NAAT; N-POC/NPOC-NAAT where implemented; LF-LAM; sputum, stool, urine or tongue-swab collection materials as applicable; chest X-ray referral if used.</t>
  </si>
  <si>
    <t>TB treatment referral or starter pathway; TPT such as 3HP/6H/9H per national guidance; pyridoxine where used.</t>
  </si>
  <si>
    <t>No stock-out or documented contingency plan; test result and linkage register.</t>
  </si>
  <si>
    <t>Cryptococcal disease</t>
  </si>
  <si>
    <t>Serum/plasma/whole-blood CrAg; CSF CrAg or India ink/culture pathway; LP kit and manometer at hub level.</t>
  </si>
  <si>
    <t>Fluconazole; liposomal amphotericin B/flucytosine referral or hub supply; electrolyte and renal monitoring supplies.</t>
  </si>
  <si>
    <t>CrAg log; CM referral pathway; medicine stock status; toxicity monitoring checklist.</t>
  </si>
  <si>
    <t>Other OIs and severe illness</t>
  </si>
  <si>
    <t>Toxoplasma clinical/serology/imaging pathway; Pneumocystis pneumonia assessment with pulse oximetry and imaging referral; Histoplasma antigen referral where indicated; stool/etiology pathway for chronic diarrhea; oral/esophageal candidiasis clinical assessment/referral; nutrition screening tools (weight, BMI or MUAC).</t>
  </si>
  <si>
    <t>Co-trimoxazole and other medicines or referral pathways for toxoplasmosis and Pneumocystis pneumonia; itraconazole/amphotericin referral for histoplasmosis; rehydration and cause-specific treatment for chronic diarrhea; antifungals for candidiasis; therapeutic/supplementary nutrition commodities and supportive care.</t>
  </si>
  <si>
    <t>Current job aids, diagnostic/referral logs, medicine and commodity stock records, nutrition screening records, treatment initiation, referral completion, and follow-up evidence for each priority condition.</t>
  </si>
  <si>
    <t>Kaposi’s sarcoma</t>
  </si>
  <si>
    <t>Clinical screening job aid; biopsy/referral pathway where indicated; imaging/endoscopy referral where available.</t>
  </si>
  <si>
    <t>ART; chemotherapy referral pathway; paclitaxel or pegylated liposomal doxorubicin access at oncology/hub level where used.</t>
  </si>
  <si>
    <t>Referral contacts, appointment tracking, treatment outcome notes.</t>
  </si>
  <si>
    <t>Follow-up and retention</t>
  </si>
  <si>
    <t>Phone/contact verification tools; appointment system; community tracing tools; data registers and DAMA fields.</t>
  </si>
  <si>
    <t>Discharge supply of ART/OI medicines; adherence support materials.</t>
  </si>
  <si>
    <t>Post-discharge call/home visit log; missed-visit tracing log; confidentiality consent records.</t>
  </si>
  <si>
    <t>Response options</t>
  </si>
  <si>
    <t>Yes/No/N/A</t>
  </si>
  <si>
    <t>Action status</t>
  </si>
  <si>
    <t>Tracer status</t>
  </si>
  <si>
    <t>Cameroon region</t>
  </si>
  <si>
    <t>OI/condition</t>
  </si>
  <si>
    <t>Minimum %</t>
  </si>
  <si>
    <t>Primary</t>
  </si>
  <si>
    <t>Tier 1</t>
  </si>
  <si>
    <t>Not started</t>
  </si>
  <si>
    <t>In place</t>
  </si>
  <si>
    <t>Adamawa</t>
  </si>
  <si>
    <t>Secondary</t>
  </si>
  <si>
    <t>Tier 2</t>
  </si>
  <si>
    <t>In progress</t>
  </si>
  <si>
    <t>Centre</t>
  </si>
  <si>
    <t>Tertiary</t>
  </si>
  <si>
    <t>Tier 3</t>
  </si>
  <si>
    <t>Complete</t>
  </si>
  <si>
    <t>East</t>
  </si>
  <si>
    <t>Other</t>
  </si>
  <si>
    <t>Tier 4</t>
  </si>
  <si>
    <t>Verified</t>
  </si>
  <si>
    <t>Far North</t>
  </si>
  <si>
    <t>Deferred</t>
  </si>
  <si>
    <t>Littoral</t>
  </si>
  <si>
    <t>North</t>
  </si>
  <si>
    <t>North-West</t>
  </si>
  <si>
    <t>South</t>
  </si>
  <si>
    <t>South-West</t>
  </si>
  <si>
    <t>West</t>
  </si>
  <si>
    <t>Automatic scoring: Ready units / applicable units. Domain 7 parent rows summarize the six embedded OI lines and are excluded from scoring. Dashboard visuals update automatically as the Checklist is completed.</t>
  </si>
  <si>
    <t>D1 Governance &amp; accountability</t>
  </si>
  <si>
    <t>D2 AHD screening &amp; identification</t>
  </si>
  <si>
    <t>D3 Triage, stabilization &amp; referral</t>
  </si>
  <si>
    <t>D4 CD4, laboratory &amp; diagnostics</t>
  </si>
  <si>
    <t>D5 Tuberculosis services</t>
  </si>
  <si>
    <t>D6 Cryptococcal disease</t>
  </si>
  <si>
    <t>D7 Toxoplasmosis &amp; other OIs</t>
  </si>
  <si>
    <t>D8 Severe infection, pneumonia &amp; sepsis</t>
  </si>
  <si>
    <t>D9 Kaposi's sarcoma &amp; malignancy</t>
  </si>
  <si>
    <t>D10 ART initiation &amp; adherence</t>
  </si>
  <si>
    <t>D11 Prevention, vaccination &amp; nutrition</t>
  </si>
  <si>
    <t>D12 Pediatric, adolescent &amp; PMTCT</t>
  </si>
  <si>
    <t>D13 Pharmacy &amp; supply chain</t>
  </si>
  <si>
    <t>D14 Follow-up &amp; community linkage</t>
  </si>
  <si>
    <t>D15 Data, QI &amp; mortality review</t>
  </si>
  <si>
    <t>D16 HR, training &amp; supervision</t>
  </si>
  <si>
    <t>Count</t>
  </si>
  <si>
    <t>Percentage</t>
  </si>
  <si>
    <t>Overall readiness</t>
  </si>
  <si>
    <t>Data completeness</t>
  </si>
  <si>
    <t>Toxoplasmosis
Clinical features: new or severe headache, fever, focal neurological deficit or weakness, seizures, confusion or reduced consciousness.
Danger signs: convulsions, unconsciousness, rapidly worsening focal signs, inability to walk or drink, repeated vomiting, or signs of raised intracranial pressure requiring urgent stabilization/referral.</t>
  </si>
  <si>
    <t>Pneumocystis pneumonia
Clinical features: subacute non-productive cough, progressive shortness of breath, rapid breathing, fever or low-grade fever, bilateral crepitations/reduced air entry, and hypoxaemia.
Danger signs: severe respiratory distress, chest indrawing or cyanosis, persistently low oxygen saturation, exhaustion, altered consciousness, or inability to feed/drink.</t>
  </si>
  <si>
    <t>Histoplasmosis
Clinical features: persistent fever, marked weight loss, fatigue, cough or dyspnoea, lymphadenopathy, hepatosplenomegaly, mucocutaneous lesions, gastrointestinal symptoms, and pallor/bleeding suggesting cytopenias.
Danger signs: shock, severe respiratory distress, altered consciousness/CNS features, severe anaemia/bleeding, or rapid deterioration.</t>
  </si>
  <si>
    <t>Chronic diarrhea
Clinical features: diarrhoea lasting 14 days or longer, frequent watery or bloody stools, abdominal pain, fever, weight loss, poor intake, and reduced urine output.
Danger signs: severe dehydration or shock, lethargy, inability to drink, repeated vomiting, blood in stool, severe malnutrition, sepsis, or worsening renal function.</t>
  </si>
  <si>
    <t>Oral/esophageal candidiasis
Clinical features: oral erythema with removable white-beige plaques, angular cheilitis, painful or difficult swallowing, retrosternal pain, refusal/reluctance to eat, excessive salivation, or crying with feeds.
Danger signs: inability to swallow fluids/medicines, dehydration, severe pain, airway concern, or suspected disseminated/refractory disease.</t>
  </si>
  <si>
    <t>Malnutrition
Clinical features: visible wasting or unintentional weight loss, low BMI/weight-for-height, low MUAC, bilateral pitting oedema, poor appetite, and faltering growth.
Danger signs/complications: lethargy, hypoglycaemia, hypothermia, shock/dehydration, severe infection, inability to eat/drink, or oedema with medical complications.</t>
  </si>
  <si>
    <t xml:space="preserve">Toxoplasmosis
brain CT/MRI referral where available; Toxoplasma IgG ; CSF testing/PCR 
</t>
  </si>
  <si>
    <t xml:space="preserve">Pneumocystis pneumonia
pulse oximetry; chest X-ray; induced sputum or nasopharyngeal aspirate, and bronchoalveolar lavage at referral level, for microscopy/PCR where available.
</t>
  </si>
  <si>
    <t xml:space="preserve">Histoplasmosis
circulating Histoplasma antigen assay using urine and/or serum where available; fungal microscopy/histopathology and culture through a referral laboratory; full blood count and renal/liver assessment for severity and treatment monitoring.
</t>
  </si>
  <si>
    <t xml:space="preserve">Chronic diarrhea
stool examination for ova/parasites and modified acid-fast testing for coccidian parasites where available; stool culture/other pathogen tests based on syndrome and exposure; electrolytes/renal function for severe illness.
</t>
  </si>
  <si>
    <t xml:space="preserve">Oral/esophageal candidiasis
 hydration and nutrition; clinical diagnosis or treatment trial for typical disease; KOH/Gram stain/culture for atypical, recurrent or refractory cases where available.
</t>
  </si>
  <si>
    <t xml:space="preserve">Malnutrition
calibrated weight scale, length/height board, BMI/weight-for-height and age-appropriate growth charts, MUAC tape, </t>
  </si>
  <si>
    <t xml:space="preserve">Toxoplasmosis
co-trimoxazole or pyrimethamine-based regimen according to national guidance); co-trimoxazole prophylaxis for eligible people </t>
  </si>
  <si>
    <t>Pneumocystis pneumonia
high-dose co-trimoxazole treatment , oxygen and supportive care; adjunctive corticosteroid protocol for severe hypoxaemia/respiratory distress; admission/referral for severe disease or treatment failure; co-trimoxazole prophylaxis and timely ART according to national guidance.</t>
  </si>
  <si>
    <t>Histoplasmosis
 liposomal amphotericin B induction for severe/moderately severe disseminated disease followed by itraconazole; itraconazole for mild/moderate disease where appropriate; toxicity and interaction monitoring; rapid referral for severe/CNS disease; and ART initiation as soon as clinically appropriate when there is no CNS involvement.</t>
  </si>
  <si>
    <t xml:space="preserve">Chronic diarrhea
 low-osmolarity ORS and continued feeding; IV fluids for severe dehydration/shock; zinc for children and nutrition/micronutrient support for persistent diarrhoea; </t>
  </si>
  <si>
    <t>Oral/esophageal candidiasis
 topical nystatin or miconazole for uncomplicated oral disease where appropriate; systemic fluconazole for oesophageal or extensive disease; hydration, analgesia and nutrition support; referral and alternative therapy for inability to swallow, severe disease, treatment failure, recurrent disease or suspected azole resistance.</t>
  </si>
  <si>
    <t>Malnutrition
stabilize hypoglycaemia, hypothermia, infection and dehydration; cautious initial feeding for complicated severe acute malnutrition (for example, F-75), then transition to F-100/RUTF for catch-up growth where indicated; continue breastfeeding/age-appropriate feeding; manage micronutrient needs; refer complicated cases and follow age-specific national protocols.</t>
  </si>
  <si>
    <t>Toxoplasmosis
co-trimoxazole and/or pyrimethamine, sulfadiazine and folinic acid where used); anticonvulsant and emergency-stabilization supplies; IV access/fluids as indicated</t>
  </si>
  <si>
    <t>Pneumocystis pneumonia
 co-trimoxazole (oral and parenteral where used); reliable oxygen source and delivery devices; pulse oximeter; corticosteroid for severe disease per protocol; IV access/fluids; chest X-ray and respiratory-specimen collection materials; PPE/biosafety supplies; and reliable referral transport.</t>
  </si>
  <si>
    <t>Histoplasmosis
  liposomal amphotericin B and itraconazole; IV infusion supplies; renal/electrolyte/liver monitoring; hydration and adverse-event medicines; and documented specialist/inpatient referral.</t>
  </si>
  <si>
    <t>Chronic diarrhea
low-osmolarity ORS; IV fluids and giving sets for severe dehydration; zinc for children; safe-water/feeding supplies and nutrition support; stool containers and transport media; microscopy/culture/relevant pathogen-test access</t>
  </si>
  <si>
    <t>Oral/esophageal candidiasis
 nystatin or miconazole for oral disease; fluconazole for oesophageal/extensive disease; alternative antifungal/referral access for refractory cases; oral-care supplies, analgesia, safe fluids/feeding support and hydration supplies; and diagnostic/referral access for atypical or non-responsive disease.</t>
  </si>
  <si>
    <t>Malnutrition
 nationally approved therapeutic feeds; feeding cups/spoons and safe-water supplies; glucose/sugar, appropriate rehydration solution; warmth/temperature monitoring; and referral transport.</t>
  </si>
  <si>
    <t>Priority level.</t>
  </si>
  <si>
    <t>Clinician / medical doctor</t>
  </si>
  <si>
    <t>APS / peer supporter</t>
  </si>
  <si>
    <t>Data Clerk / ACRR</t>
  </si>
  <si>
    <t>This tool was adapted from the 2025 WHO guidelines on Advanced HIV Disease Management  and the Cameroon National HIV guidelines (2024)</t>
  </si>
  <si>
    <t xml:space="preserve">Action flag (Automatic) </t>
  </si>
  <si>
    <t>Service entry points assessed (drop-down)</t>
  </si>
  <si>
    <t>Enter the number of staff trained by cadre/role and by AHD topic. Trainings can be in-person or virtual, conducted at site, regional or central levels.</t>
  </si>
  <si>
    <t xml:space="preserve">Facility Level. </t>
  </si>
  <si>
    <t>Note only  items which are not available</t>
  </si>
  <si>
    <t>Person responsible</t>
  </si>
  <si>
    <t>Automatically lists every Partial or No finding from the main Checklist</t>
  </si>
  <si>
    <t>Corrective action, person responsible, due date, status, and verification evidence.</t>
  </si>
  <si>
    <t xml:space="preserve">All Partial and No findings from the Checklist </t>
  </si>
  <si>
    <t>Proposed deadline</t>
  </si>
  <si>
    <t>AHD Site Readiness Assessment Tool — SOP and Scoring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</si>
</sst>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dd\-mmm\-yyyy"/>
  </numFmts>
  <fonts count="36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1F4E78"/>
      <name val="Carlito"/>
    </font>
    <font>
      <sz val="10"/>
      <name val="Carlito"/>
    </font>
    <font>
      <b/>
      <sz val="11"/>
      <name val="Carlito"/>
    </font>
    <font>
      <b/>
      <sz val="9"/>
      <color rgb="FFFFFFFF"/>
      <name val="Carlito"/>
    </font>
    <font>
      <sz val="9"/>
      <color rgb="FF1F2937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sz val="10"/>
      <color rgb="FF1F2937"/>
      <name val="Carlito"/>
    </font>
    <font>
      <b/>
      <sz val="8"/>
      <color rgb="FFFFFFFF"/>
      <name val="Carlito"/>
    </font>
    <font>
      <sz val="8"/>
      <color rgb="FF1F2937"/>
      <name val="Carlito"/>
    </font>
    <font>
      <b/>
      <sz val="8"/>
      <color rgb="FF1F2937"/>
      <name val="Carlito"/>
    </font>
    <font>
      <b/>
      <sz val="10"/>
      <color rgb="FF1F2937"/>
      <name val="Carlito"/>
    </font>
    <font>
      <b/>
      <i/>
      <sz val="9"/>
      <color rgb="FFFFFFFF"/>
      <name val="Carlito"/>
    </font>
    <font>
      <b/>
      <sz val="8"/>
      <color rgb="FF1F4E78"/>
      <name val="Carlito"/>
    </font>
    <font>
      <i/>
      <sz val="8"/>
      <color rgb="FF44546A"/>
      <name val="Carlito"/>
    </font>
    <font>
      <i/>
      <sz val="8"/>
      <color rgb="FF666666"/>
      <name val="Carlito"/>
    </font>
    <font>
      <b/>
      <sz val="11"/>
      <color rgb="FF1F1F1F"/>
      <name val="Carlito"/>
    </font>
    <font>
      <b/>
      <sz val="13"/>
      <color rgb="FFFFFFFF"/>
      <name val="Carlito"/>
    </font>
    <font>
      <i/>
      <sz val="10"/>
      <color rgb="FF34495E"/>
      <name val="Carlito"/>
    </font>
    <font>
      <sz val="11"/>
      <color rgb="FFFFFFFF"/>
      <name val="Carlito"/>
    </font>
    <font>
      <sz val="11"/>
      <color theme="1"/>
      <name val="Carlito"/>
    </font>
    <font>
      <sz val="10"/>
      <color theme="1"/>
      <name val="Carlito"/>
    </font>
    <font>
      <b/>
      <sz val="12"/>
      <color theme="1"/>
      <name val="Carlito"/>
    </font>
    <font>
      <b/>
      <sz val="9"/>
      <color theme="1"/>
      <name val="Carlito"/>
    </font>
    <font>
      <sz val="9"/>
      <color theme="1"/>
      <name val="Carlito"/>
    </font>
    <font>
      <b/>
      <sz val="8"/>
      <color theme="1"/>
      <name val="Carlito"/>
    </font>
    <font>
      <sz val="8"/>
      <color theme="1"/>
      <name val="Carlito"/>
    </font>
    <font>
      <b/>
      <sz val="10"/>
      <color rgb="FF0070C0"/>
      <name val="Carlito"/>
    </font>
    <font>
      <b/>
      <sz val="9"/>
      <color rgb="FF1F2937"/>
      <name val="Carlito"/>
    </font>
    <font>
      <b/>
      <sz val="9"/>
      <color theme="0"/>
      <name val="Carlito"/>
    </font>
    <font>
      <b/>
      <sz val="8"/>
      <color theme="0"/>
      <name val="Carlito"/>
    </font>
    <font>
      <b/>
      <sz val="16"/>
      <color theme="0"/>
      <name val="Carlito"/>
    </font>
  </fonts>
  <fills count="2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4FB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2F75B5"/>
      </patternFill>
    </fill>
    <fill>
      <patternFill patternType="solid">
        <fgColor rgb="FFEAF3F8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F8696B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7FBFD"/>
      </patternFill>
    </fill>
    <fill>
      <patternFill patternType="solid">
        <fgColor rgb="FFFFF2CC"/>
      </patternFill>
    </fill>
    <fill>
      <patternFill patternType="solid">
        <fgColor rgb="FFEAF5FB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wrapText="1"/>
    </xf>
    <xf numFmtId="165" fontId="0" fillId="0" borderId="0" xfId="0" applyNumberFormat="1" applyAlignment="1">
      <alignment wrapText="1"/>
    </xf>
    <xf numFmtId="0" fontId="4" fillId="4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9" fontId="7" fillId="0" borderId="1" xfId="0" applyNumberFormat="1" applyFont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vertical="center" wrapText="1"/>
    </xf>
    <xf numFmtId="166" fontId="11" fillId="15" borderId="1" xfId="0" applyNumberFormat="1" applyFont="1" applyFill="1" applyBorder="1" applyAlignment="1">
      <alignment vertical="center" wrapText="1"/>
    </xf>
    <xf numFmtId="0" fontId="4" fillId="15" borderId="0" xfId="0" applyFont="1" applyFill="1" applyAlignment="1">
      <alignment vertical="top" wrapText="1"/>
    </xf>
    <xf numFmtId="164" fontId="4" fillId="15" borderId="0" xfId="0" applyNumberFormat="1" applyFont="1" applyFill="1" applyAlignment="1">
      <alignment vertical="top" wrapText="1"/>
    </xf>
    <xf numFmtId="0" fontId="13" fillId="15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vertical="center" wrapText="1"/>
    </xf>
    <xf numFmtId="166" fontId="13" fillId="15" borderId="1" xfId="0" applyNumberFormat="1" applyFont="1" applyFill="1" applyBorder="1" applyAlignment="1">
      <alignment vertical="center" wrapText="1"/>
    </xf>
    <xf numFmtId="166" fontId="13" fillId="16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9" fontId="13" fillId="0" borderId="1" xfId="0" applyNumberFormat="1" applyFont="1" applyBorder="1" applyAlignment="1">
      <alignment vertical="center" wrapText="1"/>
    </xf>
    <xf numFmtId="9" fontId="7" fillId="8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9" fontId="0" fillId="4" borderId="0" xfId="0" applyNumberFormat="1" applyFill="1" applyAlignment="1">
      <alignment vertical="top" wrapText="1"/>
    </xf>
    <xf numFmtId="9" fontId="5" fillId="4" borderId="0" xfId="0" applyNumberFormat="1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166" fontId="13" fillId="18" borderId="1" xfId="0" applyNumberFormat="1" applyFont="1" applyFill="1" applyBorder="1" applyAlignment="1">
      <alignment vertical="center" wrapText="1"/>
    </xf>
    <xf numFmtId="0" fontId="13" fillId="19" borderId="1" xfId="0" applyFont="1" applyFill="1" applyBorder="1" applyAlignment="1">
      <alignment vertical="center" wrapText="1"/>
    </xf>
    <xf numFmtId="166" fontId="13" fillId="19" borderId="1" xfId="0" applyNumberFormat="1" applyFont="1" applyFill="1" applyBorder="1" applyAlignment="1">
      <alignment vertical="center" wrapText="1"/>
    </xf>
    <xf numFmtId="0" fontId="17" fillId="17" borderId="1" xfId="0" applyFont="1" applyFill="1" applyBorder="1" applyAlignment="1">
      <alignment vertical="center" wrapText="1"/>
    </xf>
    <xf numFmtId="0" fontId="17" fillId="18" borderId="1" xfId="0" applyFont="1" applyFill="1" applyBorder="1" applyAlignment="1">
      <alignment vertical="center" wrapText="1"/>
    </xf>
    <xf numFmtId="0" fontId="18" fillId="18" borderId="1" xfId="0" applyFont="1" applyFill="1" applyBorder="1" applyAlignment="1">
      <alignment vertical="center" wrapText="1"/>
    </xf>
    <xf numFmtId="0" fontId="19" fillId="19" borderId="1" xfId="0" applyFont="1" applyFill="1" applyBorder="1" applyAlignment="1">
      <alignment vertical="center" wrapText="1"/>
    </xf>
    <xf numFmtId="0" fontId="13" fillId="20" borderId="1" xfId="0" applyFont="1" applyFill="1" applyBorder="1" applyAlignment="1">
      <alignment vertical="center" wrapText="1"/>
    </xf>
    <xf numFmtId="0" fontId="13" fillId="21" borderId="1" xfId="0" applyFont="1" applyFill="1" applyBorder="1" applyAlignment="1">
      <alignment vertical="center" wrapText="1"/>
    </xf>
    <xf numFmtId="166" fontId="13" fillId="21" borderId="1" xfId="0" applyNumberFormat="1" applyFont="1" applyFill="1" applyBorder="1" applyAlignment="1">
      <alignment vertical="center" wrapText="1"/>
    </xf>
    <xf numFmtId="0" fontId="17" fillId="20" borderId="1" xfId="0" applyFont="1" applyFill="1" applyBorder="1" applyAlignment="1">
      <alignment vertical="center" wrapText="1"/>
    </xf>
    <xf numFmtId="0" fontId="13" fillId="22" borderId="1" xfId="0" applyFont="1" applyFill="1" applyBorder="1" applyAlignment="1">
      <alignment vertical="center" wrapText="1"/>
    </xf>
    <xf numFmtId="0" fontId="17" fillId="22" borderId="1" xfId="0" applyFont="1" applyFill="1" applyBorder="1" applyAlignment="1">
      <alignment vertical="center" wrapText="1"/>
    </xf>
    <xf numFmtId="166" fontId="0" fillId="0" borderId="0" xfId="0" applyNumberFormat="1" applyAlignment="1">
      <alignment wrapText="1"/>
    </xf>
    <xf numFmtId="165" fontId="13" fillId="16" borderId="1" xfId="0" applyNumberFormat="1" applyFont="1" applyFill="1" applyBorder="1" applyAlignment="1">
      <alignment vertical="center" wrapText="1"/>
    </xf>
    <xf numFmtId="165" fontId="13" fillId="19" borderId="1" xfId="0" applyNumberFormat="1" applyFont="1" applyFill="1" applyBorder="1" applyAlignment="1">
      <alignment vertical="center" wrapText="1"/>
    </xf>
    <xf numFmtId="0" fontId="20" fillId="23" borderId="0" xfId="0" applyFont="1" applyFill="1" applyAlignment="1">
      <alignment vertical="center" wrapText="1"/>
    </xf>
    <xf numFmtId="1" fontId="20" fillId="23" borderId="0" xfId="0" applyNumberFormat="1" applyFont="1" applyFill="1" applyAlignment="1">
      <alignment vertical="center" wrapText="1"/>
    </xf>
    <xf numFmtId="0" fontId="23" fillId="0" borderId="0" xfId="0" applyFont="1"/>
    <xf numFmtId="9" fontId="23" fillId="0" borderId="0" xfId="0" applyNumberFormat="1" applyFont="1"/>
    <xf numFmtId="1" fontId="23" fillId="0" borderId="0" xfId="0" applyNumberFormat="1" applyFont="1"/>
    <xf numFmtId="9" fontId="20" fillId="3" borderId="0" xfId="0" applyNumberFormat="1" applyFont="1" applyFill="1" applyAlignment="1">
      <alignment vertical="center" wrapText="1"/>
    </xf>
    <xf numFmtId="0" fontId="17" fillId="3" borderId="1" xfId="0" applyFont="1" applyFill="1" applyBorder="1" applyAlignment="1">
      <alignment vertical="top" wrapText="1"/>
    </xf>
    <xf numFmtId="0" fontId="17" fillId="20" borderId="1" xfId="0" applyFont="1" applyFill="1" applyBorder="1" applyAlignment="1">
      <alignment vertical="top" wrapText="1"/>
    </xf>
    <xf numFmtId="0" fontId="17" fillId="2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8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vertical="center" wrapText="1"/>
    </xf>
    <xf numFmtId="0" fontId="26" fillId="7" borderId="2" xfId="0" applyFont="1" applyFill="1" applyBorder="1" applyAlignment="1">
      <alignment horizontal="left" vertical="center"/>
    </xf>
    <xf numFmtId="0" fontId="26" fillId="7" borderId="3" xfId="0" applyFont="1" applyFill="1" applyBorder="1" applyAlignment="1">
      <alignment horizontal="left" vertical="center"/>
    </xf>
    <xf numFmtId="0" fontId="26" fillId="7" borderId="4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9" fontId="11" fillId="8" borderId="1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22" fillId="24" borderId="0" xfId="0" applyFont="1" applyFill="1" applyAlignment="1">
      <alignment vertical="center" wrapText="1"/>
    </xf>
    <xf numFmtId="0" fontId="21" fillId="25" borderId="0" xfId="0" applyFont="1" applyFill="1" applyAlignment="1">
      <alignment horizontal="left" vertical="center"/>
    </xf>
    <xf numFmtId="0" fontId="1" fillId="25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25" fillId="8" borderId="2" xfId="0" applyFont="1" applyFill="1" applyBorder="1" applyAlignment="1">
      <alignment vertical="center" wrapText="1"/>
    </xf>
    <xf numFmtId="0" fontId="24" fillId="0" borderId="0" xfId="0" applyFont="1" applyBorder="1"/>
    <xf numFmtId="0" fontId="25" fillId="0" borderId="0" xfId="0" applyFont="1" applyBorder="1"/>
    <xf numFmtId="0" fontId="25" fillId="0" borderId="0" xfId="0" applyFont="1" applyBorder="1" applyAlignment="1">
      <alignment horizontal="left"/>
    </xf>
    <xf numFmtId="0" fontId="0" fillId="0" borderId="0" xfId="0" applyFill="1" applyBorder="1" applyAlignment="1"/>
    <xf numFmtId="0" fontId="0" fillId="0" borderId="7" xfId="0" applyFill="1" applyBorder="1" applyAlignment="1"/>
    <xf numFmtId="0" fontId="0" fillId="0" borderId="0" xfId="0" applyFill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27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35" fillId="5" borderId="3" xfId="0" applyFont="1" applyFill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center" vertical="center" wrapText="1"/>
    </xf>
    <xf numFmtId="0" fontId="31" fillId="0" borderId="0" xfId="0" applyFont="1" applyBorder="1"/>
    <xf numFmtId="0" fontId="31" fillId="0" borderId="8" xfId="0" applyFont="1" applyBorder="1"/>
  </cellXfs>
  <cellStyles count="1">
    <cellStyle name="Normal" xfId="0" builtinId="0"/>
  </cellStyles>
  <dxfs count="127">
    <dxf>
      <font>
        <b/>
        <color rgb="FF9C0006"/>
      </font>
      <fill>
        <patternFill>
          <bgColor rgb="FFF4CCCC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1F2937"/>
      </font>
      <fill>
        <patternFill>
          <bgColor rgb="FFD9E1F2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1F2937"/>
      </font>
      <fill>
        <patternFill>
          <bgColor rgb="FFD9E1F2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color rgb="FF9C6500"/>
      </font>
      <fill>
        <patternFill>
          <bgColor rgb="FFFCE5CD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666666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1F2937"/>
      </font>
      <fill>
        <patternFill>
          <bgColor rgb="FFD9E1F2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1F2937"/>
      </font>
      <fill>
        <patternFill>
          <bgColor rgb="FFD9E1F2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3F00"/>
      </font>
      <fill>
        <patternFill>
          <bgColor rgb="FFF4B183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strike val="0"/>
        <outline val="0"/>
        <shadow val="0"/>
        <u val="none"/>
        <vertAlign val="baseline"/>
        <sz val="11"/>
        <color rgb="FFFFFFFF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Readiness by Domain (%)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Readiness %</c:v>
          </c:tx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6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Readiness_Dashboard!$AA$16:$AA$31</c:f>
              <c:strCache>
                <c:ptCount val="16"/>
                <c:pt idx="0">
                  <c:v>D1 Governance &amp; accountability</c:v>
                </c:pt>
                <c:pt idx="1">
                  <c:v>D2 AHD screening &amp; identification</c:v>
                </c:pt>
                <c:pt idx="2">
                  <c:v>D3 Triage, stabilization &amp; referral</c:v>
                </c:pt>
                <c:pt idx="3">
                  <c:v>D4 CD4, laboratory &amp; diagnostics</c:v>
                </c:pt>
                <c:pt idx="4">
                  <c:v>D5 Tuberculosis services</c:v>
                </c:pt>
                <c:pt idx="5">
                  <c:v>D6 Cryptococcal disease</c:v>
                </c:pt>
                <c:pt idx="6">
                  <c:v>D7 Toxoplasmosis &amp; other OIs</c:v>
                </c:pt>
                <c:pt idx="7">
                  <c:v>D8 Severe infection, pneumonia &amp; sepsis</c:v>
                </c:pt>
                <c:pt idx="8">
                  <c:v>D9 Kaposi's sarcoma &amp; malignancy</c:v>
                </c:pt>
                <c:pt idx="9">
                  <c:v>D10 ART initiation &amp; adherence</c:v>
                </c:pt>
                <c:pt idx="10">
                  <c:v>D11 Prevention, vaccination &amp; nutrition</c:v>
                </c:pt>
                <c:pt idx="11">
                  <c:v>D12 Pediatric, adolescent &amp; PMTCT</c:v>
                </c:pt>
                <c:pt idx="12">
                  <c:v>D13 Pharmacy &amp; supply chain</c:v>
                </c:pt>
                <c:pt idx="13">
                  <c:v>D14 Follow-up &amp; community linkage</c:v>
                </c:pt>
                <c:pt idx="14">
                  <c:v>D15 Data, QI &amp; mortality review</c:v>
                </c:pt>
                <c:pt idx="15">
                  <c:v>D16 HR, training &amp; supervision</c:v>
                </c:pt>
              </c:strCache>
            </c:strRef>
          </c:cat>
          <c:val>
            <c:numRef>
              <c:f>Readiness_Dashboard!$AB$16:$AB$31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C-4EEB-AA48-BF896AC7F7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t"/>
        <c:majorGridlines>
          <c:spPr>
            <a:ln w="9525">
              <a:solidFill>
                <a:srgbClr val="D9E2F3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Overall Assessment Response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Count</c:v>
          </c:tx>
          <c:invertIfNegative val="1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675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Readiness_Dashboard!$AA$36:$AA$40</c:f>
              <c:strCache>
                <c:ptCount val="5"/>
                <c:pt idx="0">
                  <c:v>Yes</c:v>
                </c:pt>
                <c:pt idx="1">
                  <c:v>Partial</c:v>
                </c:pt>
                <c:pt idx="2">
                  <c:v>No</c:v>
                </c:pt>
                <c:pt idx="3">
                  <c:v>N/A</c:v>
                </c:pt>
                <c:pt idx="4">
                  <c:v>Missing</c:v>
                </c:pt>
              </c:strCache>
            </c:strRef>
          </c:cat>
          <c:val>
            <c:numRef>
              <c:f>Readiness_Dashboard!$AB$36:$AB$40</c:f>
              <c:numCache>
                <c:formatCode>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0-4FB1-823F-9C66A10842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E2F3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Overall Readiness and Data Completeness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Percentage</c:v>
          </c:tx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675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Readiness_Dashboard!$AD$36:$AD$37</c:f>
              <c:strCache>
                <c:ptCount val="2"/>
                <c:pt idx="0">
                  <c:v>Overall readiness</c:v>
                </c:pt>
                <c:pt idx="1">
                  <c:v>Data completeness</c:v>
                </c:pt>
              </c:strCache>
            </c:strRef>
          </c:cat>
          <c:val>
            <c:numRef>
              <c:f>Readiness_Dashboard!$AE$36:$AE$37</c:f>
              <c:numCache>
                <c:formatCode>0%</c:formatCode>
                <c:ptCount val="2"/>
                <c:pt idx="0">
                  <c:v>0.5</c:v>
                </c:pt>
                <c:pt idx="1">
                  <c:v>1.4184397163120567E-2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E-4E6F-B959-311B45E2BA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t"/>
        <c:majorGridlines>
          <c:spPr>
            <a:ln w="9525">
              <a:solidFill>
                <a:srgbClr val="D9E2F3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2285999</xdr:colOff>
      <xdr:row>13</xdr:row>
      <xdr:rowOff>457199</xdr:rowOff>
    </xdr:from>
    <xdr:ext cx="13839825" cy="545782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7239000" cy="314325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35</xdr:row>
      <xdr:rowOff>0</xdr:rowOff>
    </xdr:from>
    <xdr:ext cx="5905500" cy="314325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ChecklistTable" displayName="ChecklistTable" ref="A2:Q149" totalsRowShown="0">
  <tableColumns count="17">
    <tableColumn id="1" xr3:uid="{00000000-0010-0000-0100-000001000000}" name="Domain #"/>
    <tableColumn id="2" xr3:uid="{00000000-0010-0000-0100-000002000000}" name="Domain"/>
    <tableColumn id="3" xr3:uid="{00000000-0010-0000-0100-000003000000}" name="Item no."/>
    <tableColumn id="4" xr3:uid="{00000000-0010-0000-0100-000004000000}" name="Priority level."/>
    <tableColumn id="5" xr3:uid="{00000000-0010-0000-0100-000005000000}" name="Preparedness requirement"/>
    <tableColumn id="6" xr3:uid="{00000000-0010-0000-0100-000006000000}" name="Response"/>
    <tableColumn id="7" xr3:uid="{00000000-0010-0000-0100-000007000000}" name="Evidence / notes"/>
    <tableColumn id="8" xr3:uid="{00000000-0010-0000-0100-000008000000}" name="Person responsible"/>
    <tableColumn id="9" xr3:uid="{00000000-0010-0000-0100-000009000000}" name="Proposed deadline"/>
    <tableColumn id="10" xr3:uid="{00000000-0010-0000-0100-00000A000000}" name="Ready units / score"/>
    <tableColumn id="11" xr3:uid="{00000000-0010-0000-0100-00000B000000}" name="Applicable units"/>
    <tableColumn id="12" xr3:uid="{00000000-0010-0000-0100-00000C000000}" name="Gap flag"/>
    <tableColumn id="13" xr3:uid="{00000000-0010-0000-0100-00000D000000}" name="Priority days"/>
    <tableColumn id="14" xr3:uid="{00000000-0010-0000-0100-00000E000000}" name="Recommended target date"/>
    <tableColumn id="15" xr3:uid="{00000000-0010-0000-0100-00000F000000}" name="Validation"/>
    <tableColumn id="16" xr3:uid="{00000000-0010-0000-0100-000010000000}" name="Gap #"/>
    <tableColumn id="17" xr3:uid="{00000000-0010-0000-0100-000011000000}" name="Question readiness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DashboardTable" displayName="DashboardTable" ref="A15:N32" totalsRowShown="0" headerRowDxfId="126">
  <tableColumns count="14">
    <tableColumn id="1" xr3:uid="{00000000-0010-0000-0000-000001000000}" name="Domain #"/>
    <tableColumn id="2" xr3:uid="{00000000-0010-0000-0000-000002000000}" name="Domain"/>
    <tableColumn id="3" xr3:uid="{00000000-0010-0000-0000-000003000000}" name="Assessment units"/>
    <tableColumn id="4" xr3:uid="{00000000-0010-0000-0000-000004000000}" name="Yes"/>
    <tableColumn id="5" xr3:uid="{00000000-0010-0000-0000-000005000000}" name="Partial"/>
    <tableColumn id="6" xr3:uid="{00000000-0010-0000-0000-000006000000}" name="No"/>
    <tableColumn id="7" xr3:uid="{00000000-0010-0000-0000-000007000000}" name="N/A"/>
    <tableColumn id="8" xr3:uid="{00000000-0010-0000-0000-000008000000}" name="Missing"/>
    <tableColumn id="9" xr3:uid="{00000000-0010-0000-0000-000009000000}" name="Applicable assessed"/>
    <tableColumn id="10" xr3:uid="{00000000-0010-0000-0000-00000A000000}" name="Readiness %"/>
    <tableColumn id="11" xr3:uid="{00000000-0010-0000-0000-00000B000000}" name="P1 gaps"/>
    <tableColumn id="12" xr3:uid="{00000000-0010-0000-0000-00000C000000}" name="P2/P3 gaps"/>
    <tableColumn id="13" xr3:uid="{00000000-0010-0000-0000-00000D000000}" name="Performance status"/>
    <tableColumn id="14" xr3:uid="{00000000-0010-0000-0000-00000E000000}" name="Priority actions / 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iningTable" displayName="TrainingTable" ref="A5:I13">
  <tableColumns count="9">
    <tableColumn id="1" xr3:uid="{00000000-0010-0000-0300-000001000000}" name="Cadre / role"/>
    <tableColumn id="2" xr3:uid="{00000000-0010-0000-0300-000002000000}" name="AHD definition &amp; CD4 staging"/>
    <tableColumn id="3" xr3:uid="{00000000-0010-0000-0300-000003000000}" name="TB screen / LF-LAM / GeneXpert / N-POC"/>
    <tableColumn id="4" xr3:uid="{00000000-0010-0000-0300-000004000000}" name="CrAg / meningitis pathway"/>
    <tableColumn id="5" xr3:uid="{00000000-0010-0000-0300-000005000000}" name="ART timing &amp; adherence"/>
    <tableColumn id="6" xr3:uid="{00000000-0010-0000-0300-000006000000}" name="Pediatric AHD"/>
    <tableColumn id="7" xr3:uid="{00000000-0010-0000-0300-000007000000}" name="Discharge / follow-up"/>
    <tableColumn id="8" xr3:uid="{00000000-0010-0000-0300-000008000000}" name="Date refreshed"/>
    <tableColumn id="9" xr3:uid="{00000000-0010-0000-0300-000009000000}" name="Completion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acerTable" displayName="TracerTable" ref="A4:I10">
  <tableColumns count="9">
    <tableColumn id="1" xr3:uid="{00000000-0010-0000-0400-000001000000}" name="Area"/>
    <tableColumn id="2" xr3:uid="{00000000-0010-0000-0400-000002000000}" name="Tracer diagnostics / equipment"/>
    <tableColumn id="3" xr3:uid="{00000000-0010-0000-0400-000003000000}" name="Tracer medicines / supplies"/>
    <tableColumn id="4" xr3:uid="{00000000-0010-0000-0400-000004000000}" name="Minimum verification evidence"/>
    <tableColumn id="5" xr3:uid="{00000000-0010-0000-0400-000005000000}" name="Note only  items which are not available"/>
    <tableColumn id="6" xr3:uid="{00000000-0010-0000-0400-000006000000}" name="Responsible person"/>
    <tableColumn id="7" xr3:uid="{00000000-0010-0000-0400-000007000000}" name="Due date"/>
    <tableColumn id="8" xr3:uid="{00000000-0010-0000-0400-000008000000}" name="Notes"/>
    <tableColumn id="9" xr3:uid="{00000000-0010-0000-0400-000009000000}" name="Action flag (Automatic)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ActionPlanTable" displayName="ActionPlanTable" ref="A4:L145" totalsRowShown="0">
  <tableColumns count="12">
    <tableColumn id="1" xr3:uid="{00000000-0010-0000-0200-000001000000}" name="Gap #"/>
    <tableColumn id="2" xr3:uid="{00000000-0010-0000-0200-000002000000}" name="Item no."/>
    <tableColumn id="3" xr3:uid="{00000000-0010-0000-0200-000003000000}" name="Domain"/>
    <tableColumn id="4" xr3:uid="{00000000-0010-0000-0200-000004000000}" name="Condition"/>
    <tableColumn id="5" xr3:uid="{00000000-0010-0000-0200-000005000000}" name="Pr."/>
    <tableColumn id="6" xr3:uid="{00000000-0010-0000-0200-000006000000}" name="Current response"/>
    <tableColumn id="7" xr3:uid="{00000000-0010-0000-0200-000007000000}" name="Finding / gap"/>
    <tableColumn id="8" xr3:uid="{00000000-0010-0000-0200-000008000000}" name="Evidence / notes"/>
    <tableColumn id="9" xr3:uid="{00000000-0010-0000-0200-000009000000}" name="Suggested target date"/>
    <tableColumn id="10" xr3:uid="{00000000-0010-0000-0200-00000A000000}" name="Corrective action"/>
    <tableColumn id="11" xr3:uid="{00000000-0010-0000-0200-00000B000000}" name="Person responsible"/>
    <tableColumn id="12" xr3:uid="{00000000-0010-0000-0200-00000C000000}" name="Du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opLeftCell="C1" zoomScale="150" zoomScaleNormal="150" workbookViewId="0">
      <selection activeCell="O11" sqref="O11"/>
    </sheetView>
  </sheetViews>
  <sheetFormatPr defaultRowHeight="14.25"/>
  <cols>
    <col min="1" max="1" width="10" style="69" customWidth="1"/>
    <col min="2" max="2" width="22" style="69" customWidth="1"/>
    <col min="3" max="3" width="31" style="69" customWidth="1"/>
    <col min="4" max="4" width="25" style="69" customWidth="1"/>
    <col min="5" max="6" width="23" style="69" customWidth="1"/>
    <col min="7" max="7" width="31.75" style="69" customWidth="1"/>
    <col min="8" max="19" width="9" style="69"/>
    <col min="20" max="20" width="23" style="69" customWidth="1"/>
    <col min="21" max="16384" width="9" style="69"/>
  </cols>
  <sheetData>
    <row r="1" spans="1:21" ht="26.1" customHeight="1">
      <c r="A1" s="129" t="s">
        <v>676</v>
      </c>
      <c r="B1" s="130"/>
      <c r="C1" s="130"/>
      <c r="D1" s="130"/>
      <c r="E1" s="130"/>
      <c r="F1" s="130"/>
      <c r="G1" s="131"/>
    </row>
    <row r="2" spans="1:21">
      <c r="H2" s="132" t="s">
        <v>665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3"/>
    </row>
    <row r="3" spans="1:21" ht="15.75">
      <c r="A3" s="78" t="s">
        <v>0</v>
      </c>
      <c r="B3" s="79"/>
      <c r="C3" s="79"/>
      <c r="D3" s="79"/>
      <c r="E3" s="79"/>
      <c r="F3" s="79"/>
      <c r="G3" s="79"/>
      <c r="H3" s="111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1"/>
    </row>
    <row r="4" spans="1:21">
      <c r="A4" s="81" t="s">
        <v>1</v>
      </c>
      <c r="B4" s="81"/>
      <c r="C4" s="81"/>
      <c r="D4" s="81"/>
      <c r="E4" s="81"/>
      <c r="F4" s="81"/>
      <c r="G4" s="110"/>
      <c r="H4" s="111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1"/>
    </row>
    <row r="5" spans="1:21" ht="33" customHeight="1">
      <c r="A5" s="81"/>
      <c r="B5" s="81"/>
      <c r="C5" s="81"/>
      <c r="D5" s="81"/>
      <c r="E5" s="81"/>
      <c r="F5" s="81"/>
      <c r="G5" s="81"/>
    </row>
    <row r="7" spans="1:21" ht="15.75">
      <c r="A7" s="78" t="s">
        <v>2</v>
      </c>
      <c r="B7" s="79"/>
      <c r="C7" s="79"/>
      <c r="D7" s="79"/>
      <c r="E7" s="79"/>
      <c r="F7" s="79"/>
      <c r="G7" s="80"/>
    </row>
    <row r="8" spans="1:21">
      <c r="A8" s="126" t="s">
        <v>3</v>
      </c>
      <c r="B8" s="126" t="s">
        <v>4</v>
      </c>
      <c r="C8" s="126" t="s">
        <v>5</v>
      </c>
      <c r="D8" s="126" t="s">
        <v>6</v>
      </c>
      <c r="E8" s="126" t="s">
        <v>7</v>
      </c>
      <c r="F8" s="126" t="s">
        <v>8</v>
      </c>
      <c r="G8" s="126" t="s">
        <v>9</v>
      </c>
    </row>
    <row r="9" spans="1:21" ht="36">
      <c r="A9" s="70">
        <v>1</v>
      </c>
      <c r="B9" s="70" t="s">
        <v>10</v>
      </c>
      <c r="C9" s="70" t="s">
        <v>11</v>
      </c>
      <c r="D9" s="70" t="s">
        <v>12</v>
      </c>
      <c r="E9" s="70"/>
      <c r="F9" s="70" t="s">
        <v>13</v>
      </c>
      <c r="G9" s="70" t="s">
        <v>14</v>
      </c>
    </row>
    <row r="10" spans="1:21" ht="60">
      <c r="A10" s="70">
        <v>2</v>
      </c>
      <c r="B10" s="70" t="s">
        <v>15</v>
      </c>
      <c r="C10" s="70" t="s">
        <v>16</v>
      </c>
      <c r="D10" s="70" t="s">
        <v>17</v>
      </c>
      <c r="E10" s="70" t="s">
        <v>18</v>
      </c>
      <c r="F10" s="70" t="s">
        <v>19</v>
      </c>
      <c r="G10" s="70" t="s">
        <v>20</v>
      </c>
    </row>
    <row r="11" spans="1:21" ht="72">
      <c r="A11" s="70">
        <v>3</v>
      </c>
      <c r="B11" s="70" t="s">
        <v>21</v>
      </c>
      <c r="C11" s="70" t="s">
        <v>22</v>
      </c>
      <c r="D11" s="70" t="s">
        <v>23</v>
      </c>
      <c r="E11" s="70" t="s">
        <v>24</v>
      </c>
      <c r="F11" s="70" t="s">
        <v>25</v>
      </c>
      <c r="G11" s="70" t="s">
        <v>26</v>
      </c>
    </row>
    <row r="12" spans="1:21" ht="36">
      <c r="A12" s="70">
        <v>4</v>
      </c>
      <c r="B12" s="70" t="s">
        <v>27</v>
      </c>
      <c r="C12" s="70" t="s">
        <v>28</v>
      </c>
      <c r="D12" s="70" t="s">
        <v>29</v>
      </c>
      <c r="E12" s="70" t="s">
        <v>30</v>
      </c>
      <c r="F12" s="70" t="s">
        <v>31</v>
      </c>
      <c r="G12" s="70" t="s">
        <v>32</v>
      </c>
    </row>
    <row r="13" spans="1:21" ht="36">
      <c r="A13" s="70">
        <v>5</v>
      </c>
      <c r="B13" s="70" t="s">
        <v>33</v>
      </c>
      <c r="C13" s="70" t="s">
        <v>673</v>
      </c>
      <c r="D13" s="70" t="s">
        <v>674</v>
      </c>
      <c r="E13" s="70" t="s">
        <v>34</v>
      </c>
      <c r="F13" s="70" t="s">
        <v>35</v>
      </c>
      <c r="G13" s="70" t="s">
        <v>36</v>
      </c>
    </row>
    <row r="14" spans="1:21" ht="36">
      <c r="A14" s="70">
        <v>6</v>
      </c>
      <c r="B14" s="70" t="s">
        <v>37</v>
      </c>
      <c r="C14" s="70" t="s">
        <v>38</v>
      </c>
      <c r="D14" s="70" t="s">
        <v>39</v>
      </c>
      <c r="E14" s="70" t="s">
        <v>40</v>
      </c>
      <c r="F14" s="70" t="s">
        <v>41</v>
      </c>
      <c r="G14" s="70" t="s">
        <v>42</v>
      </c>
    </row>
    <row r="17" spans="1:7" ht="15.75">
      <c r="A17" s="78" t="s">
        <v>43</v>
      </c>
      <c r="B17" s="79"/>
      <c r="C17" s="79"/>
      <c r="D17" s="79"/>
      <c r="E17" s="79"/>
      <c r="F17" s="79"/>
      <c r="G17" s="80"/>
    </row>
    <row r="18" spans="1:7">
      <c r="A18" s="127" t="s">
        <v>44</v>
      </c>
      <c r="B18" s="127" t="s">
        <v>45</v>
      </c>
      <c r="C18" s="127" t="s">
        <v>46</v>
      </c>
      <c r="D18" s="127" t="s">
        <v>47</v>
      </c>
      <c r="E18" s="127" t="s">
        <v>48</v>
      </c>
      <c r="F18" s="127" t="s">
        <v>49</v>
      </c>
      <c r="G18" s="127" t="s">
        <v>50</v>
      </c>
    </row>
    <row r="19" spans="1:7" ht="33.75">
      <c r="A19" s="71" t="s">
        <v>51</v>
      </c>
      <c r="B19" s="71" t="s">
        <v>52</v>
      </c>
      <c r="C19" s="71" t="s">
        <v>53</v>
      </c>
      <c r="D19" s="71" t="s">
        <v>54</v>
      </c>
      <c r="E19" s="71" t="s">
        <v>55</v>
      </c>
      <c r="F19" s="71" t="s">
        <v>56</v>
      </c>
      <c r="G19" s="71" t="s">
        <v>57</v>
      </c>
    </row>
    <row r="20" spans="1:7" ht="33.75">
      <c r="A20" s="71" t="s">
        <v>58</v>
      </c>
      <c r="B20" s="71" t="s">
        <v>59</v>
      </c>
      <c r="C20" s="71" t="s">
        <v>60</v>
      </c>
      <c r="D20" s="71" t="s">
        <v>61</v>
      </c>
      <c r="E20" s="71" t="s">
        <v>62</v>
      </c>
      <c r="F20" s="71" t="s">
        <v>63</v>
      </c>
      <c r="G20" s="71" t="s">
        <v>64</v>
      </c>
    </row>
    <row r="21" spans="1:7" ht="22.5">
      <c r="A21" s="71" t="s">
        <v>65</v>
      </c>
      <c r="B21" s="71" t="s">
        <v>66</v>
      </c>
      <c r="C21" s="71" t="s">
        <v>67</v>
      </c>
      <c r="D21" s="71" t="s">
        <v>68</v>
      </c>
      <c r="E21" s="71" t="s">
        <v>69</v>
      </c>
      <c r="F21" s="71" t="s">
        <v>70</v>
      </c>
      <c r="G21" s="71" t="s">
        <v>71</v>
      </c>
    </row>
    <row r="22" spans="1:7" ht="33.75">
      <c r="A22" s="71" t="s">
        <v>72</v>
      </c>
      <c r="B22" s="71" t="s">
        <v>66</v>
      </c>
      <c r="C22" s="71" t="s">
        <v>73</v>
      </c>
      <c r="D22" s="71" t="s">
        <v>74</v>
      </c>
      <c r="E22" s="71" t="s">
        <v>75</v>
      </c>
      <c r="F22" s="71" t="s">
        <v>76</v>
      </c>
      <c r="G22" s="71" t="s">
        <v>77</v>
      </c>
    </row>
    <row r="23" spans="1:7" ht="22.5">
      <c r="A23" s="71" t="s">
        <v>78</v>
      </c>
      <c r="B23" s="71" t="s">
        <v>15</v>
      </c>
      <c r="C23" s="71" t="s">
        <v>79</v>
      </c>
      <c r="D23" s="71" t="s">
        <v>80</v>
      </c>
      <c r="E23" s="71" t="s">
        <v>80</v>
      </c>
      <c r="F23" s="71" t="s">
        <v>81</v>
      </c>
      <c r="G23" s="71" t="s">
        <v>82</v>
      </c>
    </row>
    <row r="24" spans="1:7" ht="22.5">
      <c r="A24" s="71" t="s">
        <v>83</v>
      </c>
      <c r="B24" s="71" t="s">
        <v>15</v>
      </c>
      <c r="C24" s="71" t="s">
        <v>84</v>
      </c>
      <c r="D24" s="71" t="s">
        <v>80</v>
      </c>
      <c r="E24" s="71" t="s">
        <v>80</v>
      </c>
      <c r="F24" s="71" t="s">
        <v>85</v>
      </c>
      <c r="G24" s="71" t="s">
        <v>86</v>
      </c>
    </row>
    <row r="27" spans="1:7" ht="15.75">
      <c r="A27" s="78" t="s">
        <v>87</v>
      </c>
      <c r="B27" s="79"/>
      <c r="C27" s="79"/>
      <c r="D27" s="79"/>
      <c r="E27" s="79"/>
      <c r="F27" s="79"/>
      <c r="G27" s="80"/>
    </row>
    <row r="28" spans="1:7" ht="22.5">
      <c r="A28" s="128" t="s">
        <v>88</v>
      </c>
      <c r="B28" s="128" t="s">
        <v>89</v>
      </c>
      <c r="C28" s="128" t="s">
        <v>90</v>
      </c>
      <c r="D28" s="128" t="s">
        <v>91</v>
      </c>
      <c r="E28" s="128" t="s">
        <v>92</v>
      </c>
      <c r="F28" s="128" t="s">
        <v>93</v>
      </c>
      <c r="G28" s="128" t="s">
        <v>94</v>
      </c>
    </row>
    <row r="29" spans="1:7" ht="22.5">
      <c r="A29" s="71" t="s">
        <v>95</v>
      </c>
      <c r="B29" s="71" t="s">
        <v>96</v>
      </c>
      <c r="C29" s="72" t="s">
        <v>97</v>
      </c>
      <c r="D29" s="71" t="s">
        <v>98</v>
      </c>
      <c r="E29" s="71" t="s">
        <v>99</v>
      </c>
      <c r="F29" s="71" t="s">
        <v>100</v>
      </c>
      <c r="G29" s="71" t="s">
        <v>101</v>
      </c>
    </row>
    <row r="30" spans="1:7" ht="22.5">
      <c r="A30" s="71" t="s">
        <v>102</v>
      </c>
      <c r="B30" s="71" t="s">
        <v>103</v>
      </c>
      <c r="C30" s="73" t="s">
        <v>104</v>
      </c>
      <c r="D30" s="71" t="s">
        <v>105</v>
      </c>
      <c r="E30" s="71" t="s">
        <v>106</v>
      </c>
      <c r="F30" s="71" t="s">
        <v>100</v>
      </c>
      <c r="G30" s="71" t="s">
        <v>101</v>
      </c>
    </row>
    <row r="31" spans="1:7" ht="22.5">
      <c r="A31" s="71" t="s">
        <v>107</v>
      </c>
      <c r="B31" s="71" t="s">
        <v>108</v>
      </c>
      <c r="C31" s="74" t="s">
        <v>109</v>
      </c>
      <c r="D31" s="71" t="s">
        <v>110</v>
      </c>
      <c r="E31" s="71" t="s">
        <v>111</v>
      </c>
      <c r="F31" s="71" t="s">
        <v>100</v>
      </c>
      <c r="G31" s="71" t="s">
        <v>101</v>
      </c>
    </row>
    <row r="32" spans="1:7" ht="22.5">
      <c r="A32" s="71" t="s">
        <v>112</v>
      </c>
      <c r="B32" s="71" t="s">
        <v>113</v>
      </c>
      <c r="C32" s="75" t="s">
        <v>114</v>
      </c>
      <c r="D32" s="71" t="s">
        <v>115</v>
      </c>
      <c r="E32" s="71" t="s">
        <v>116</v>
      </c>
      <c r="F32" s="71" t="s">
        <v>117</v>
      </c>
      <c r="G32" s="71" t="s">
        <v>118</v>
      </c>
    </row>
    <row r="33" spans="1:7" ht="22.5">
      <c r="A33" s="71" t="s">
        <v>119</v>
      </c>
      <c r="B33" s="71" t="s">
        <v>120</v>
      </c>
      <c r="C33" s="76" t="s">
        <v>121</v>
      </c>
      <c r="D33" s="71" t="s">
        <v>122</v>
      </c>
      <c r="E33" s="71" t="s">
        <v>123</v>
      </c>
      <c r="F33" s="71" t="s">
        <v>124</v>
      </c>
      <c r="G33" s="71" t="s">
        <v>125</v>
      </c>
    </row>
    <row r="35" spans="1:7" ht="15.75">
      <c r="A35" s="78" t="s">
        <v>126</v>
      </c>
      <c r="B35" s="79"/>
      <c r="C35" s="79"/>
      <c r="D35" s="79"/>
      <c r="E35" s="79"/>
      <c r="F35" s="79"/>
      <c r="G35" s="80"/>
    </row>
    <row r="36" spans="1:7">
      <c r="A36" s="127" t="s">
        <v>127</v>
      </c>
      <c r="B36" s="127" t="s">
        <v>128</v>
      </c>
      <c r="C36" s="127" t="s">
        <v>129</v>
      </c>
      <c r="D36" s="127" t="s">
        <v>130</v>
      </c>
      <c r="E36" s="127" t="s">
        <v>131</v>
      </c>
      <c r="F36" s="127" t="s">
        <v>132</v>
      </c>
      <c r="G36" s="127" t="s">
        <v>133</v>
      </c>
    </row>
    <row r="37" spans="1:7" ht="22.5">
      <c r="A37" s="71" t="s">
        <v>134</v>
      </c>
      <c r="B37" s="71" t="s">
        <v>135</v>
      </c>
      <c r="C37" s="71" t="s">
        <v>136</v>
      </c>
      <c r="D37" s="71" t="s">
        <v>137</v>
      </c>
      <c r="E37" s="71" t="s">
        <v>138</v>
      </c>
      <c r="F37" s="71" t="s">
        <v>139</v>
      </c>
      <c r="G37" s="71" t="s">
        <v>140</v>
      </c>
    </row>
    <row r="38" spans="1:7" ht="22.5">
      <c r="A38" s="71" t="s">
        <v>141</v>
      </c>
      <c r="B38" s="71" t="s">
        <v>142</v>
      </c>
      <c r="C38" s="71" t="s">
        <v>143</v>
      </c>
      <c r="D38" s="71" t="s">
        <v>144</v>
      </c>
      <c r="E38" s="71" t="s">
        <v>145</v>
      </c>
      <c r="F38" s="71" t="s">
        <v>146</v>
      </c>
      <c r="G38" s="71" t="s">
        <v>147</v>
      </c>
    </row>
    <row r="39" spans="1:7" ht="22.5">
      <c r="A39" s="71" t="s">
        <v>148</v>
      </c>
      <c r="B39" s="71" t="s">
        <v>149</v>
      </c>
      <c r="C39" s="71" t="s">
        <v>150</v>
      </c>
      <c r="D39" s="71" t="s">
        <v>151</v>
      </c>
      <c r="E39" s="71" t="s">
        <v>152</v>
      </c>
      <c r="F39" s="71" t="s">
        <v>153</v>
      </c>
      <c r="G39" s="71" t="s">
        <v>147</v>
      </c>
    </row>
    <row r="41" spans="1:7" ht="15.75">
      <c r="A41" s="78"/>
      <c r="B41" s="79" t="s">
        <v>154</v>
      </c>
      <c r="C41" s="79"/>
      <c r="D41" s="79"/>
      <c r="E41" s="79"/>
      <c r="F41" s="79"/>
      <c r="G41" s="80"/>
    </row>
  </sheetData>
  <mergeCells count="9">
    <mergeCell ref="H2:T2"/>
    <mergeCell ref="A35:G35"/>
    <mergeCell ref="A41:G41"/>
    <mergeCell ref="A4:G5"/>
    <mergeCell ref="A1:G1"/>
    <mergeCell ref="A3:G3"/>
    <mergeCell ref="A7:G7"/>
    <mergeCell ref="A17:G17"/>
    <mergeCell ref="A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abSelected="1" zoomScaleNormal="100" workbookViewId="0">
      <selection activeCell="I12" sqref="I12"/>
    </sheetView>
  </sheetViews>
  <sheetFormatPr defaultRowHeight="14.25"/>
  <cols>
    <col min="1" max="1" width="28" customWidth="1"/>
    <col min="2" max="2" width="18" customWidth="1"/>
    <col min="3" max="3" width="20" customWidth="1"/>
    <col min="4" max="4" width="56" customWidth="1"/>
    <col min="5" max="5" width="18" customWidth="1"/>
    <col min="6" max="6" width="28" customWidth="1"/>
    <col min="7" max="8" width="24" customWidth="1"/>
  </cols>
  <sheetData>
    <row r="1" spans="1:8" ht="32.1" customHeight="1">
      <c r="A1" s="82" t="s">
        <v>155</v>
      </c>
      <c r="B1" s="83"/>
      <c r="C1" s="83"/>
      <c r="D1" s="83"/>
      <c r="E1" s="83"/>
      <c r="F1" s="84"/>
      <c r="G1" s="120"/>
      <c r="H1" s="120"/>
    </row>
    <row r="2" spans="1:8" ht="24" customHeight="1">
      <c r="A2" s="85" t="s">
        <v>156</v>
      </c>
      <c r="B2" s="86"/>
      <c r="C2" s="86"/>
      <c r="D2" s="86"/>
      <c r="E2" s="86"/>
      <c r="F2" s="87"/>
      <c r="G2" s="120"/>
      <c r="H2" s="120"/>
    </row>
    <row r="3" spans="1:8">
      <c r="A3" s="122"/>
      <c r="B3" s="122"/>
      <c r="C3" s="122"/>
      <c r="D3" s="122"/>
      <c r="E3" s="122"/>
      <c r="F3" s="122"/>
      <c r="G3" s="120"/>
      <c r="H3" s="120"/>
    </row>
    <row r="4" spans="1:8" ht="15.75">
      <c r="A4" s="88" t="s">
        <v>157</v>
      </c>
      <c r="B4" s="89"/>
      <c r="C4" s="89"/>
      <c r="D4" s="89"/>
      <c r="E4" s="89"/>
      <c r="F4" s="90"/>
      <c r="G4" s="120"/>
      <c r="H4" s="120"/>
    </row>
    <row r="5" spans="1:8">
      <c r="A5" s="19" t="s">
        <v>158</v>
      </c>
      <c r="B5" s="91"/>
      <c r="C5" s="91"/>
      <c r="D5" s="19" t="s">
        <v>159</v>
      </c>
      <c r="E5" s="91"/>
      <c r="F5" s="91"/>
      <c r="G5" s="120"/>
      <c r="H5" s="120"/>
    </row>
    <row r="6" spans="1:8">
      <c r="A6" s="19" t="s">
        <v>160</v>
      </c>
      <c r="B6" s="20"/>
      <c r="C6" s="19" t="s">
        <v>161</v>
      </c>
      <c r="D6" s="20"/>
      <c r="E6" s="19" t="s">
        <v>162</v>
      </c>
      <c r="F6" s="20"/>
      <c r="G6" s="120"/>
      <c r="H6" s="120"/>
    </row>
    <row r="7" spans="1:8" ht="38.25">
      <c r="A7" s="19" t="s">
        <v>163</v>
      </c>
      <c r="B7" s="24"/>
      <c r="C7" s="19" t="s">
        <v>164</v>
      </c>
      <c r="D7" s="20"/>
      <c r="E7" s="19" t="s">
        <v>165</v>
      </c>
      <c r="F7" s="20"/>
      <c r="G7" s="120"/>
      <c r="H7" s="120"/>
    </row>
    <row r="8" spans="1:8">
      <c r="A8" s="19" t="s">
        <v>166</v>
      </c>
      <c r="B8" s="91"/>
      <c r="C8" s="91"/>
      <c r="D8" s="19" t="s">
        <v>167</v>
      </c>
      <c r="E8" s="91"/>
      <c r="F8" s="91"/>
      <c r="G8" s="120"/>
      <c r="H8" s="120"/>
    </row>
    <row r="9" spans="1:8">
      <c r="C9" s="118"/>
      <c r="G9" s="120"/>
      <c r="H9" s="120"/>
    </row>
    <row r="10" spans="1:8" ht="15" customHeight="1">
      <c r="A10" s="93" t="s">
        <v>667</v>
      </c>
      <c r="B10" s="93" t="s">
        <v>168</v>
      </c>
      <c r="C10" s="119"/>
      <c r="D10" s="21" t="s">
        <v>169</v>
      </c>
      <c r="E10" s="21" t="s">
        <v>170</v>
      </c>
      <c r="F10" s="21" t="s">
        <v>171</v>
      </c>
      <c r="G10" s="120"/>
      <c r="H10" s="120"/>
    </row>
    <row r="11" spans="1:8" ht="37.5" customHeight="1">
      <c r="A11" s="123" t="s">
        <v>172</v>
      </c>
      <c r="B11" s="77"/>
      <c r="C11" s="119"/>
      <c r="D11" s="123" t="s">
        <v>173</v>
      </c>
      <c r="E11" s="77"/>
      <c r="F11" s="77"/>
      <c r="G11" s="120"/>
      <c r="H11" s="120"/>
    </row>
    <row r="12" spans="1:8" ht="59.25" customHeight="1">
      <c r="A12" s="123" t="s">
        <v>174</v>
      </c>
      <c r="B12" s="77"/>
      <c r="C12" s="119"/>
      <c r="D12" s="123" t="s">
        <v>175</v>
      </c>
      <c r="E12" s="77"/>
      <c r="F12" s="77"/>
      <c r="G12" s="120"/>
      <c r="H12" s="120"/>
    </row>
    <row r="13" spans="1:8" ht="35.25" customHeight="1">
      <c r="A13" s="123" t="s">
        <v>176</v>
      </c>
      <c r="B13" s="77"/>
      <c r="C13" s="119"/>
      <c r="D13" s="123" t="s">
        <v>177</v>
      </c>
      <c r="E13" s="77"/>
      <c r="F13" s="77"/>
      <c r="G13" s="120"/>
      <c r="H13" s="120"/>
    </row>
    <row r="14" spans="1:8" ht="36" customHeight="1">
      <c r="A14" s="123" t="s">
        <v>178</v>
      </c>
      <c r="B14" s="77"/>
      <c r="C14" s="119"/>
      <c r="D14" s="123" t="s">
        <v>179</v>
      </c>
      <c r="E14" s="77"/>
      <c r="F14" s="77"/>
      <c r="G14" s="120"/>
      <c r="H14" s="120"/>
    </row>
    <row r="15" spans="1:8" ht="31.5" customHeight="1">
      <c r="A15" s="123" t="s">
        <v>180</v>
      </c>
      <c r="B15" s="77"/>
      <c r="C15" s="119"/>
      <c r="D15" s="123" t="s">
        <v>181</v>
      </c>
      <c r="E15" s="77"/>
      <c r="F15" s="77"/>
      <c r="G15" s="120"/>
      <c r="H15" s="120"/>
    </row>
    <row r="16" spans="1:8">
      <c r="A16" s="123" t="s">
        <v>182</v>
      </c>
      <c r="B16" s="77"/>
      <c r="C16" s="117"/>
      <c r="D16" s="116"/>
      <c r="E16" s="116"/>
      <c r="F16" s="116"/>
      <c r="G16" s="120"/>
      <c r="H16" s="120"/>
    </row>
    <row r="17" spans="1:8">
      <c r="A17" s="123" t="s">
        <v>183</v>
      </c>
      <c r="B17" s="77"/>
      <c r="C17" s="117"/>
      <c r="D17" s="116"/>
      <c r="E17" s="116"/>
      <c r="F17" s="116"/>
      <c r="G17" s="120"/>
      <c r="H17" s="120"/>
    </row>
    <row r="18" spans="1:8">
      <c r="A18" s="123" t="s">
        <v>184</v>
      </c>
      <c r="B18" s="77"/>
      <c r="C18" s="117"/>
      <c r="D18" s="116"/>
      <c r="E18" s="116"/>
      <c r="F18" s="116"/>
      <c r="G18" s="120"/>
      <c r="H18" s="120"/>
    </row>
    <row r="19" spans="1:8">
      <c r="A19" s="123" t="s">
        <v>185</v>
      </c>
      <c r="B19" s="77"/>
      <c r="C19" s="117"/>
      <c r="D19" s="116"/>
      <c r="E19" s="116"/>
      <c r="F19" s="116"/>
      <c r="G19" s="120"/>
      <c r="H19" s="120"/>
    </row>
    <row r="20" spans="1:8">
      <c r="A20" s="124" t="s">
        <v>186</v>
      </c>
      <c r="B20" s="22"/>
      <c r="C20" s="117"/>
      <c r="D20" s="116"/>
      <c r="E20" s="116"/>
      <c r="F20" s="116"/>
      <c r="G20" s="120"/>
      <c r="H20" s="120"/>
    </row>
    <row r="21" spans="1:8">
      <c r="A21" s="114"/>
      <c r="B21" s="114"/>
      <c r="C21" s="114"/>
      <c r="D21" s="114"/>
      <c r="E21" s="114"/>
      <c r="F21" s="114"/>
      <c r="G21" s="120"/>
      <c r="H21" s="120"/>
    </row>
    <row r="22" spans="1:8">
      <c r="A22" s="115"/>
      <c r="B22" s="115"/>
      <c r="C22" s="115"/>
      <c r="D22" s="115"/>
      <c r="E22" s="115"/>
      <c r="F22" s="115"/>
      <c r="G22" s="120"/>
      <c r="H22" s="120"/>
    </row>
    <row r="23" spans="1:8" ht="15.75">
      <c r="A23" s="88" t="s">
        <v>187</v>
      </c>
      <c r="B23" s="89"/>
      <c r="C23" s="89"/>
      <c r="D23" s="89"/>
      <c r="E23" s="89"/>
      <c r="F23" s="90"/>
      <c r="G23" s="120"/>
      <c r="H23" s="120"/>
    </row>
    <row r="24" spans="1:8">
      <c r="A24" s="23" t="s">
        <v>188</v>
      </c>
      <c r="B24" s="94">
        <f>Readiness_Dashboard!$B$5</f>
        <v>0.5</v>
      </c>
      <c r="C24" s="92"/>
      <c r="D24" s="23" t="s">
        <v>189</v>
      </c>
      <c r="E24" s="92">
        <f>Readiness_Dashboard!$B$8</f>
        <v>1</v>
      </c>
      <c r="F24" s="92"/>
      <c r="G24" s="120"/>
      <c r="H24" s="120"/>
    </row>
    <row r="25" spans="1:8">
      <c r="A25" s="23" t="s">
        <v>190</v>
      </c>
      <c r="B25" s="92">
        <f>Readiness_Dashboard!$B$9</f>
        <v>1</v>
      </c>
      <c r="C25" s="92"/>
      <c r="D25" s="23" t="s">
        <v>191</v>
      </c>
      <c r="E25" s="92">
        <f>Readiness_Dashboard!$B$10</f>
        <v>139</v>
      </c>
      <c r="F25" s="92"/>
      <c r="G25" s="120"/>
      <c r="H25" s="120"/>
    </row>
    <row r="26" spans="1:8">
      <c r="A26" s="23" t="s">
        <v>192</v>
      </c>
      <c r="B26" s="92" t="str">
        <f>IF(COUNTBLANK($E$11:$E$15)&gt;0,"Incomplete",IF(COUNTIF($E$11:$E$15,"No")+COUNTIF($E$11:$E$15,"Partial")&gt;0,"Critical checks unresolved","All critical checks ready"))</f>
        <v>Incomplete</v>
      </c>
      <c r="C26" s="92"/>
      <c r="D26" s="23" t="s">
        <v>193</v>
      </c>
      <c r="E26" s="92" t="str">
        <f>Readiness_Dashboard!$B$12</f>
        <v>Incomplete - complete all responses</v>
      </c>
      <c r="F26" s="92"/>
      <c r="G26" s="120"/>
      <c r="H26" s="120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  <row r="31" spans="1:8">
      <c r="A31" s="121"/>
      <c r="B31" s="121"/>
      <c r="C31" s="121"/>
      <c r="D31" s="121"/>
      <c r="E31" s="121"/>
      <c r="F31" s="121"/>
      <c r="G31" s="121"/>
      <c r="H31" s="121"/>
    </row>
    <row r="32" spans="1:8">
      <c r="A32" s="121"/>
      <c r="B32" s="121"/>
      <c r="C32" s="121"/>
      <c r="D32" s="121"/>
      <c r="E32" s="121"/>
      <c r="F32" s="121"/>
      <c r="G32" s="121"/>
      <c r="H32" s="121"/>
    </row>
    <row r="33" spans="1:8">
      <c r="A33" s="121"/>
      <c r="B33" s="121"/>
      <c r="C33" s="121"/>
      <c r="D33" s="121"/>
      <c r="E33" s="121"/>
      <c r="F33" s="121"/>
      <c r="G33" s="121"/>
      <c r="H33" s="121"/>
    </row>
    <row r="34" spans="1:8">
      <c r="A34" s="121"/>
      <c r="B34" s="121"/>
      <c r="C34" s="121"/>
      <c r="D34" s="121"/>
      <c r="E34" s="121"/>
      <c r="F34" s="121"/>
      <c r="G34" s="121"/>
      <c r="H34" s="121"/>
    </row>
    <row r="35" spans="1:8">
      <c r="A35" s="121"/>
      <c r="B35" s="121"/>
      <c r="C35" s="121"/>
      <c r="D35" s="121"/>
      <c r="E35" s="121"/>
      <c r="F35" s="121"/>
      <c r="G35" s="121"/>
      <c r="H35" s="121"/>
    </row>
    <row r="36" spans="1:8">
      <c r="A36" s="121"/>
      <c r="B36" s="121"/>
      <c r="C36" s="121"/>
      <c r="D36" s="121"/>
      <c r="E36" s="121"/>
      <c r="F36" s="121"/>
      <c r="G36" s="121"/>
      <c r="H36" s="121"/>
    </row>
    <row r="37" spans="1:8">
      <c r="A37" s="121"/>
      <c r="B37" s="121"/>
      <c r="C37" s="121"/>
      <c r="D37" s="121"/>
      <c r="E37" s="121"/>
      <c r="F37" s="121"/>
      <c r="G37" s="121"/>
      <c r="H37" s="121"/>
    </row>
    <row r="38" spans="1:8">
      <c r="A38" s="121"/>
      <c r="B38" s="121"/>
      <c r="C38" s="121"/>
      <c r="D38" s="121"/>
      <c r="E38" s="121"/>
      <c r="F38" s="121"/>
      <c r="G38" s="121"/>
      <c r="H38" s="121"/>
    </row>
    <row r="39" spans="1:8">
      <c r="A39" s="121"/>
      <c r="B39" s="121"/>
      <c r="C39" s="121"/>
      <c r="D39" s="121"/>
      <c r="E39" s="121"/>
      <c r="F39" s="121"/>
      <c r="G39" s="121"/>
      <c r="H39" s="121"/>
    </row>
    <row r="40" spans="1:8">
      <c r="A40" s="121"/>
      <c r="B40" s="121"/>
      <c r="C40" s="121"/>
      <c r="D40" s="121"/>
      <c r="E40" s="121"/>
      <c r="F40" s="121"/>
      <c r="G40" s="121"/>
      <c r="H40" s="121"/>
    </row>
    <row r="41" spans="1:8">
      <c r="A41" s="121"/>
      <c r="B41" s="121"/>
      <c r="C41" s="121"/>
      <c r="D41" s="121"/>
      <c r="E41" s="121"/>
      <c r="F41" s="121"/>
      <c r="G41" s="121"/>
      <c r="H41" s="121"/>
    </row>
    <row r="42" spans="1:8">
      <c r="A42" s="121"/>
      <c r="B42" s="121"/>
      <c r="C42" s="121"/>
      <c r="D42" s="121"/>
      <c r="E42" s="121"/>
      <c r="F42" s="121"/>
      <c r="G42" s="121"/>
      <c r="H42" s="121"/>
    </row>
    <row r="43" spans="1:8">
      <c r="A43" s="121"/>
      <c r="B43" s="121"/>
      <c r="C43" s="121"/>
      <c r="D43" s="121"/>
      <c r="E43" s="121"/>
      <c r="F43" s="121"/>
      <c r="G43" s="121"/>
      <c r="H43" s="121"/>
    </row>
    <row r="44" spans="1:8">
      <c r="A44" s="121"/>
      <c r="B44" s="121"/>
      <c r="C44" s="121"/>
      <c r="D44" s="121"/>
      <c r="E44" s="121"/>
      <c r="F44" s="121"/>
      <c r="G44" s="121"/>
      <c r="H44" s="121"/>
    </row>
    <row r="45" spans="1:8">
      <c r="A45" s="121"/>
      <c r="B45" s="121"/>
      <c r="C45" s="121"/>
      <c r="D45" s="121"/>
      <c r="E45" s="121"/>
      <c r="F45" s="121"/>
      <c r="G45" s="121"/>
      <c r="H45" s="121"/>
    </row>
  </sheetData>
  <mergeCells count="21">
    <mergeCell ref="C9:C15"/>
    <mergeCell ref="G1:H26"/>
    <mergeCell ref="A27:H45"/>
    <mergeCell ref="A3:F3"/>
    <mergeCell ref="B25:C25"/>
    <mergeCell ref="E25:F25"/>
    <mergeCell ref="B26:C26"/>
    <mergeCell ref="E26:F26"/>
    <mergeCell ref="B8:C8"/>
    <mergeCell ref="E8:F8"/>
    <mergeCell ref="A10:B10"/>
    <mergeCell ref="A23:F23"/>
    <mergeCell ref="B24:C24"/>
    <mergeCell ref="E24:F24"/>
    <mergeCell ref="A21:F22"/>
    <mergeCell ref="C16:F20"/>
    <mergeCell ref="A1:F1"/>
    <mergeCell ref="A2:F2"/>
    <mergeCell ref="A4:F4"/>
    <mergeCell ref="B5:C5"/>
    <mergeCell ref="E5:F5"/>
  </mergeCells>
  <conditionalFormatting sqref="B24:C24">
    <cfRule type="expression" dxfId="125" priority="1">
      <formula>AND(B24&lt;&gt;"",B24&lt;0.6)</formula>
    </cfRule>
    <cfRule type="expression" dxfId="124" priority="2">
      <formula>AND(B24&gt;=0.6,B24&lt;0.8)</formula>
    </cfRule>
    <cfRule type="expression" dxfId="123" priority="3">
      <formula>AND(B24&gt;=0.8,B24&lt;0.9)</formula>
    </cfRule>
    <cfRule type="expression" dxfId="122" priority="4">
      <formula>B24&gt;=0.9</formula>
    </cfRule>
  </conditionalFormatting>
  <conditionalFormatting sqref="B26:C26">
    <cfRule type="containsText" dxfId="121" priority="5" operator="containsText" text="Incomplete"/>
    <cfRule type="containsText" dxfId="120" priority="8" operator="containsText" text="Critical"/>
    <cfRule type="containsText" dxfId="119" priority="9" operator="containsText" text="Partially ready"/>
    <cfRule type="containsText" dxfId="118" priority="10" operator="containsText" text="Substantially ready"/>
    <cfRule type="containsText" dxfId="117" priority="11" operator="containsText" text="Ready"/>
    <cfRule type="containsText" dxfId="116" priority="12" operator="containsText" text="OK"/>
    <cfRule type="containsText" dxfId="115" priority="13" operator="containsText" text="Check"/>
  </conditionalFormatting>
  <conditionalFormatting sqref="E26:F26">
    <cfRule type="containsText" dxfId="114" priority="14" operator="containsText" text="Incomplete"/>
    <cfRule type="containsText" dxfId="113" priority="17" operator="containsText" text="Critical"/>
    <cfRule type="containsText" dxfId="112" priority="18" operator="containsText" text="Partially ready"/>
    <cfRule type="containsText" dxfId="111" priority="19" operator="containsText" text="Substantially ready"/>
    <cfRule type="containsText" dxfId="110" priority="20" operator="containsText" text="Ready"/>
    <cfRule type="containsText" dxfId="109" priority="21" operator="containsText" text="OK"/>
    <cfRule type="containsText" dxfId="108" priority="22" operator="containsText" text="Check"/>
  </conditionalFormatting>
  <dataValidations count="2">
    <dataValidation type="list" allowBlank="1" showInputMessage="1" showErrorMessage="1" sqref="B11:B20" xr:uid="{25944295-9D86-4001-9184-14F140BA3F65}">
      <formula1>"YES, NO"</formula1>
    </dataValidation>
    <dataValidation type="list" allowBlank="1" showInputMessage="1" showErrorMessage="1" sqref="E11:E15" xr:uid="{2C5C54E6-7A61-425F-BBE3-63002ACF5063}">
      <formula1>"Ready, Substancially Ready, Partially Ready, Critical Readiness Gap, Incomplete/No data"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9"/>
  <sheetViews>
    <sheetView topLeftCell="A95" zoomScale="90" zoomScaleNormal="90" workbookViewId="0">
      <selection activeCell="Z5" sqref="Z5"/>
    </sheetView>
  </sheetViews>
  <sheetFormatPr defaultRowHeight="14.25"/>
  <cols>
    <col min="1" max="1" width="8" customWidth="1"/>
    <col min="2" max="2" width="36" customWidth="1"/>
    <col min="3" max="3" width="9" customWidth="1"/>
    <col min="4" max="4" width="7" customWidth="1"/>
    <col min="5" max="5" width="74" customWidth="1"/>
    <col min="6" max="6" width="12" customWidth="1"/>
    <col min="7" max="7" width="38" customWidth="1"/>
    <col min="8" max="8" width="18" customWidth="1"/>
    <col min="9" max="9" width="14" customWidth="1"/>
    <col min="10" max="12" width="12" customWidth="1"/>
    <col min="13" max="13" width="11" customWidth="1"/>
    <col min="14" max="14" width="15" customWidth="1"/>
    <col min="15" max="15" width="19" customWidth="1"/>
    <col min="16" max="16" width="8" customWidth="1"/>
    <col min="17" max="17" width="13" customWidth="1"/>
  </cols>
  <sheetData>
    <row r="1" spans="1:17" ht="32.1" customHeight="1">
      <c r="A1" s="95" t="s">
        <v>253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ht="45.95" customHeight="1">
      <c r="A2" s="38" t="s">
        <v>220</v>
      </c>
      <c r="B2" s="37" t="s">
        <v>221</v>
      </c>
      <c r="C2" s="37" t="s">
        <v>254</v>
      </c>
      <c r="D2" s="37" t="s">
        <v>661</v>
      </c>
      <c r="E2" s="37" t="s">
        <v>256</v>
      </c>
      <c r="F2" s="37" t="s">
        <v>51</v>
      </c>
      <c r="G2" s="37" t="s">
        <v>257</v>
      </c>
      <c r="H2" s="37" t="s">
        <v>671</v>
      </c>
      <c r="I2" s="37" t="s">
        <v>675</v>
      </c>
      <c r="J2" s="37" t="s">
        <v>258</v>
      </c>
      <c r="K2" s="37" t="s">
        <v>259</v>
      </c>
      <c r="L2" s="37" t="s">
        <v>260</v>
      </c>
      <c r="M2" s="37" t="s">
        <v>261</v>
      </c>
      <c r="N2" s="37" t="s">
        <v>83</v>
      </c>
      <c r="O2" s="37" t="s">
        <v>262</v>
      </c>
      <c r="P2" s="37" t="s">
        <v>263</v>
      </c>
      <c r="Q2" s="37" t="s">
        <v>264</v>
      </c>
    </row>
    <row r="3" spans="1:17" ht="48" customHeight="1">
      <c r="A3" s="13">
        <v>1</v>
      </c>
      <c r="B3" s="13" t="s">
        <v>232</v>
      </c>
      <c r="C3" s="13" t="s">
        <v>265</v>
      </c>
      <c r="D3" s="13" t="s">
        <v>134</v>
      </c>
      <c r="E3" s="13" t="s">
        <v>266</v>
      </c>
      <c r="F3" s="27"/>
      <c r="G3" s="27"/>
      <c r="H3" s="27"/>
      <c r="I3" s="29"/>
      <c r="J3" s="28" t="str">
        <f t="shared" ref="J3:J47" si="0">IF($F3="Yes",1,IF(OR($F3="Partial",$F3="No"),0,""))</f>
        <v/>
      </c>
      <c r="K3" s="28">
        <f t="shared" ref="K3:K47" si="1">IF(OR($F3="Yes",$F3="Partial",$F3="No"),1,0)</f>
        <v>0</v>
      </c>
      <c r="L3" s="28" t="str">
        <f t="shared" ref="L3:L47" si="2">IF(AND($D3="P1",OR($F3="Partial",$F3="No")),"P1 gap",IF(OR($F3="Partial",$F3="No"),"Gap",""))</f>
        <v/>
      </c>
      <c r="M3" s="28">
        <f t="shared" ref="M3:M34" si="3">IF($D3="P1",30,IF($D3="P2",90,IF($D3="P3",180,"")))</f>
        <v>30</v>
      </c>
      <c r="N3" s="30" t="str">
        <f>IF(OR($F3="Partial",$F3="No"),IF(Facility_Profile!$B$7="","",Facility_Profile!$B$7+$M3),"")</f>
        <v/>
      </c>
      <c r="O3" s="28" t="str">
        <f t="shared" ref="O3:O47" si="4">IF($F3="","Missing response",IF(OR($F3="Yes",$F3="Partial",$F3="No",$F3="N/A"),"OK","Check response"))</f>
        <v>Missing response</v>
      </c>
      <c r="P3" s="28" t="str">
        <f>IF(OR($F3="Partial",$F3="No"),COUNTIF($F$3:$F3,"Partial")+COUNTIF($F$3:$F3,"No"),"")</f>
        <v/>
      </c>
      <c r="Q3" s="55" t="str">
        <f t="shared" ref="Q3:Q34" si="5">IFERROR($J3/$K3,"")</f>
        <v/>
      </c>
    </row>
    <row r="4" spans="1:17" ht="48" customHeight="1">
      <c r="A4" s="13">
        <v>1</v>
      </c>
      <c r="B4" s="13" t="s">
        <v>232</v>
      </c>
      <c r="C4" s="13" t="s">
        <v>267</v>
      </c>
      <c r="D4" s="13" t="s">
        <v>134</v>
      </c>
      <c r="E4" s="13" t="s">
        <v>268</v>
      </c>
      <c r="F4" s="27"/>
      <c r="G4" s="27"/>
      <c r="H4" s="27"/>
      <c r="I4" s="29"/>
      <c r="J4" s="28" t="str">
        <f t="shared" si="0"/>
        <v/>
      </c>
      <c r="K4" s="28">
        <f t="shared" si="1"/>
        <v>0</v>
      </c>
      <c r="L4" s="28" t="str">
        <f t="shared" si="2"/>
        <v/>
      </c>
      <c r="M4" s="28">
        <f t="shared" si="3"/>
        <v>30</v>
      </c>
      <c r="N4" s="30" t="str">
        <f>IF(OR($F4="Partial",$F4="No"),IF(Facility_Profile!$B$7="","",Facility_Profile!$B$7+$M4),"")</f>
        <v/>
      </c>
      <c r="O4" s="28" t="str">
        <f t="shared" si="4"/>
        <v>Missing response</v>
      </c>
      <c r="P4" s="28" t="str">
        <f>IF(OR($F4="Partial",$F4="No"),COUNTIF($F$3:$F4,"Partial")+COUNTIF($F$3:$F4,"No"),"")</f>
        <v/>
      </c>
      <c r="Q4" s="55" t="str">
        <f t="shared" si="5"/>
        <v/>
      </c>
    </row>
    <row r="5" spans="1:17" ht="48" customHeight="1">
      <c r="A5" s="13">
        <v>1</v>
      </c>
      <c r="B5" s="13" t="s">
        <v>232</v>
      </c>
      <c r="C5" s="13" t="s">
        <v>269</v>
      </c>
      <c r="D5" s="13" t="s">
        <v>134</v>
      </c>
      <c r="E5" s="13" t="s">
        <v>270</v>
      </c>
      <c r="F5" s="27"/>
      <c r="G5" s="27"/>
      <c r="H5" s="27"/>
      <c r="I5" s="29"/>
      <c r="J5" s="28" t="str">
        <f t="shared" si="0"/>
        <v/>
      </c>
      <c r="K5" s="28">
        <f t="shared" si="1"/>
        <v>0</v>
      </c>
      <c r="L5" s="28" t="str">
        <f t="shared" si="2"/>
        <v/>
      </c>
      <c r="M5" s="28">
        <f t="shared" si="3"/>
        <v>30</v>
      </c>
      <c r="N5" s="30" t="str">
        <f>IF(OR($F5="Partial",$F5="No"),IF(Facility_Profile!$B$7="","",Facility_Profile!$B$7+$M5),"")</f>
        <v/>
      </c>
      <c r="O5" s="28" t="str">
        <f t="shared" si="4"/>
        <v>Missing response</v>
      </c>
      <c r="P5" s="28" t="str">
        <f>IF(OR($F5="Partial",$F5="No"),COUNTIF($F$3:$F5,"Partial")+COUNTIF($F$3:$F5,"No"),"")</f>
        <v/>
      </c>
      <c r="Q5" s="55" t="str">
        <f t="shared" si="5"/>
        <v/>
      </c>
    </row>
    <row r="6" spans="1:17" ht="48" customHeight="1">
      <c r="A6" s="13">
        <v>1</v>
      </c>
      <c r="B6" s="13" t="s">
        <v>232</v>
      </c>
      <c r="C6" s="13" t="s">
        <v>271</v>
      </c>
      <c r="D6" s="13" t="s">
        <v>141</v>
      </c>
      <c r="E6" s="13" t="s">
        <v>272</v>
      </c>
      <c r="F6" s="27"/>
      <c r="G6" s="27"/>
      <c r="H6" s="27"/>
      <c r="I6" s="29"/>
      <c r="J6" s="28" t="str">
        <f t="shared" si="0"/>
        <v/>
      </c>
      <c r="K6" s="28">
        <f t="shared" si="1"/>
        <v>0</v>
      </c>
      <c r="L6" s="28" t="str">
        <f t="shared" si="2"/>
        <v/>
      </c>
      <c r="M6" s="28">
        <f t="shared" si="3"/>
        <v>90</v>
      </c>
      <c r="N6" s="30" t="str">
        <f>IF(OR($F6="Partial",$F6="No"),IF(Facility_Profile!$B$7="","",Facility_Profile!$B$7+$M6),"")</f>
        <v/>
      </c>
      <c r="O6" s="28" t="str">
        <f t="shared" si="4"/>
        <v>Missing response</v>
      </c>
      <c r="P6" s="28" t="str">
        <f>IF(OR($F6="Partial",$F6="No"),COUNTIF($F$3:$F6,"Partial")+COUNTIF($F$3:$F6,"No"),"")</f>
        <v/>
      </c>
      <c r="Q6" s="55" t="str">
        <f t="shared" si="5"/>
        <v/>
      </c>
    </row>
    <row r="7" spans="1:17" ht="48" customHeight="1">
      <c r="A7" s="13">
        <v>1</v>
      </c>
      <c r="B7" s="13" t="s">
        <v>232</v>
      </c>
      <c r="C7" s="13" t="s">
        <v>273</v>
      </c>
      <c r="D7" s="13" t="s">
        <v>141</v>
      </c>
      <c r="E7" s="13" t="s">
        <v>274</v>
      </c>
      <c r="F7" s="27"/>
      <c r="G7" s="27"/>
      <c r="H7" s="27"/>
      <c r="I7" s="29"/>
      <c r="J7" s="28" t="str">
        <f t="shared" si="0"/>
        <v/>
      </c>
      <c r="K7" s="28">
        <f t="shared" si="1"/>
        <v>0</v>
      </c>
      <c r="L7" s="28" t="str">
        <f t="shared" si="2"/>
        <v/>
      </c>
      <c r="M7" s="28">
        <f t="shared" si="3"/>
        <v>90</v>
      </c>
      <c r="N7" s="30" t="str">
        <f>IF(OR($F7="Partial",$F7="No"),IF(Facility_Profile!$B$7="","",Facility_Profile!$B$7+$M7),"")</f>
        <v/>
      </c>
      <c r="O7" s="28" t="str">
        <f t="shared" si="4"/>
        <v>Missing response</v>
      </c>
      <c r="P7" s="28" t="str">
        <f>IF(OR($F7="Partial",$F7="No"),COUNTIF($F$3:$F7,"Partial")+COUNTIF($F$3:$F7,"No"),"")</f>
        <v/>
      </c>
      <c r="Q7" s="55" t="str">
        <f t="shared" si="5"/>
        <v/>
      </c>
    </row>
    <row r="8" spans="1:17" ht="48" customHeight="1">
      <c r="A8" s="13">
        <v>1</v>
      </c>
      <c r="B8" s="13" t="s">
        <v>232</v>
      </c>
      <c r="C8" s="13" t="s">
        <v>275</v>
      </c>
      <c r="D8" s="13" t="s">
        <v>141</v>
      </c>
      <c r="E8" s="13" t="s">
        <v>276</v>
      </c>
      <c r="F8" s="27"/>
      <c r="G8" s="27"/>
      <c r="H8" s="27"/>
      <c r="I8" s="29"/>
      <c r="J8" s="28" t="str">
        <f t="shared" si="0"/>
        <v/>
      </c>
      <c r="K8" s="28">
        <f t="shared" si="1"/>
        <v>0</v>
      </c>
      <c r="L8" s="28" t="str">
        <f t="shared" si="2"/>
        <v/>
      </c>
      <c r="M8" s="28">
        <f t="shared" si="3"/>
        <v>90</v>
      </c>
      <c r="N8" s="30" t="str">
        <f>IF(OR($F8="Partial",$F8="No"),IF(Facility_Profile!$B$7="","",Facility_Profile!$B$7+$M8),"")</f>
        <v/>
      </c>
      <c r="O8" s="28" t="str">
        <f t="shared" si="4"/>
        <v>Missing response</v>
      </c>
      <c r="P8" s="28" t="str">
        <f>IF(OR($F8="Partial",$F8="No"),COUNTIF($F$3:$F8,"Partial")+COUNTIF($F$3:$F8,"No"),"")</f>
        <v/>
      </c>
      <c r="Q8" s="55" t="str">
        <f t="shared" si="5"/>
        <v/>
      </c>
    </row>
    <row r="9" spans="1:17" ht="48" customHeight="1">
      <c r="A9" s="13">
        <v>2</v>
      </c>
      <c r="B9" s="13" t="s">
        <v>233</v>
      </c>
      <c r="C9" s="13" t="s">
        <v>277</v>
      </c>
      <c r="D9" s="13" t="s">
        <v>134</v>
      </c>
      <c r="E9" s="13" t="s">
        <v>278</v>
      </c>
      <c r="F9" s="27"/>
      <c r="G9" s="27"/>
      <c r="H9" s="27"/>
      <c r="I9" s="29"/>
      <c r="J9" s="28" t="str">
        <f t="shared" si="0"/>
        <v/>
      </c>
      <c r="K9" s="28">
        <f t="shared" si="1"/>
        <v>0</v>
      </c>
      <c r="L9" s="28" t="str">
        <f t="shared" si="2"/>
        <v/>
      </c>
      <c r="M9" s="28">
        <f t="shared" si="3"/>
        <v>30</v>
      </c>
      <c r="N9" s="30" t="str">
        <f>IF(OR($F9="Partial",$F9="No"),IF(Facility_Profile!$B$7="","",Facility_Profile!$B$7+$M9),"")</f>
        <v/>
      </c>
      <c r="O9" s="28" t="str">
        <f t="shared" si="4"/>
        <v>Missing response</v>
      </c>
      <c r="P9" s="28" t="str">
        <f>IF(OR($F9="Partial",$F9="No"),COUNTIF($F$3:$F9,"Partial")+COUNTIF($F$3:$F9,"No"),"")</f>
        <v/>
      </c>
      <c r="Q9" s="55" t="str">
        <f t="shared" si="5"/>
        <v/>
      </c>
    </row>
    <row r="10" spans="1:17" ht="48" customHeight="1">
      <c r="A10" s="13">
        <v>2</v>
      </c>
      <c r="B10" s="13" t="s">
        <v>233</v>
      </c>
      <c r="C10" s="13" t="s">
        <v>279</v>
      </c>
      <c r="D10" s="13" t="s">
        <v>134</v>
      </c>
      <c r="E10" s="13" t="s">
        <v>280</v>
      </c>
      <c r="F10" s="27"/>
      <c r="G10" s="27"/>
      <c r="H10" s="27"/>
      <c r="I10" s="29"/>
      <c r="J10" s="28" t="str">
        <f t="shared" si="0"/>
        <v/>
      </c>
      <c r="K10" s="28">
        <f t="shared" si="1"/>
        <v>0</v>
      </c>
      <c r="L10" s="28" t="str">
        <f t="shared" si="2"/>
        <v/>
      </c>
      <c r="M10" s="28">
        <f t="shared" si="3"/>
        <v>30</v>
      </c>
      <c r="N10" s="30" t="str">
        <f>IF(OR($F10="Partial",$F10="No"),IF(Facility_Profile!$B$7="","",Facility_Profile!$B$7+$M10),"")</f>
        <v/>
      </c>
      <c r="O10" s="28" t="str">
        <f t="shared" si="4"/>
        <v>Missing response</v>
      </c>
      <c r="P10" s="28" t="str">
        <f>IF(OR($F10="Partial",$F10="No"),COUNTIF($F$3:$F10,"Partial")+COUNTIF($F$3:$F10,"No"),"")</f>
        <v/>
      </c>
      <c r="Q10" s="55" t="str">
        <f t="shared" si="5"/>
        <v/>
      </c>
    </row>
    <row r="11" spans="1:17" ht="48" customHeight="1">
      <c r="A11" s="13">
        <v>2</v>
      </c>
      <c r="B11" s="13" t="s">
        <v>233</v>
      </c>
      <c r="C11" s="13" t="s">
        <v>281</v>
      </c>
      <c r="D11" s="13" t="s">
        <v>134</v>
      </c>
      <c r="E11" s="13" t="s">
        <v>282</v>
      </c>
      <c r="F11" s="27"/>
      <c r="G11" s="27"/>
      <c r="H11" s="27"/>
      <c r="I11" s="29"/>
      <c r="J11" s="28" t="str">
        <f t="shared" si="0"/>
        <v/>
      </c>
      <c r="K11" s="28">
        <f t="shared" si="1"/>
        <v>0</v>
      </c>
      <c r="L11" s="28" t="str">
        <f t="shared" si="2"/>
        <v/>
      </c>
      <c r="M11" s="28">
        <f t="shared" si="3"/>
        <v>30</v>
      </c>
      <c r="N11" s="30" t="str">
        <f>IF(OR($F11="Partial",$F11="No"),IF(Facility_Profile!$B$7="","",Facility_Profile!$B$7+$M11),"")</f>
        <v/>
      </c>
      <c r="O11" s="28" t="str">
        <f t="shared" si="4"/>
        <v>Missing response</v>
      </c>
      <c r="P11" s="28" t="str">
        <f>IF(OR($F11="Partial",$F11="No"),COUNTIF($F$3:$F11,"Partial")+COUNTIF($F$3:$F11,"No"),"")</f>
        <v/>
      </c>
      <c r="Q11" s="55" t="str">
        <f t="shared" si="5"/>
        <v/>
      </c>
    </row>
    <row r="12" spans="1:17" ht="48" customHeight="1">
      <c r="A12" s="13">
        <v>2</v>
      </c>
      <c r="B12" s="13" t="s">
        <v>233</v>
      </c>
      <c r="C12" s="13" t="s">
        <v>283</v>
      </c>
      <c r="D12" s="13" t="s">
        <v>134</v>
      </c>
      <c r="E12" s="13" t="s">
        <v>284</v>
      </c>
      <c r="F12" s="27"/>
      <c r="G12" s="27"/>
      <c r="H12" s="27"/>
      <c r="I12" s="29"/>
      <c r="J12" s="28" t="str">
        <f t="shared" si="0"/>
        <v/>
      </c>
      <c r="K12" s="28">
        <f t="shared" si="1"/>
        <v>0</v>
      </c>
      <c r="L12" s="28" t="str">
        <f t="shared" si="2"/>
        <v/>
      </c>
      <c r="M12" s="28">
        <f t="shared" si="3"/>
        <v>30</v>
      </c>
      <c r="N12" s="30" t="str">
        <f>IF(OR($F12="Partial",$F12="No"),IF(Facility_Profile!$B$7="","",Facility_Profile!$B$7+$M12),"")</f>
        <v/>
      </c>
      <c r="O12" s="28" t="str">
        <f t="shared" si="4"/>
        <v>Missing response</v>
      </c>
      <c r="P12" s="28" t="str">
        <f>IF(OR($F12="Partial",$F12="No"),COUNTIF($F$3:$F12,"Partial")+COUNTIF($F$3:$F12,"No"),"")</f>
        <v/>
      </c>
      <c r="Q12" s="55" t="str">
        <f t="shared" si="5"/>
        <v/>
      </c>
    </row>
    <row r="13" spans="1:17" ht="48" customHeight="1">
      <c r="A13" s="13">
        <v>2</v>
      </c>
      <c r="B13" s="13" t="s">
        <v>233</v>
      </c>
      <c r="C13" s="13" t="s">
        <v>285</v>
      </c>
      <c r="D13" s="13" t="s">
        <v>134</v>
      </c>
      <c r="E13" s="13" t="s">
        <v>286</v>
      </c>
      <c r="F13" s="27"/>
      <c r="G13" s="27"/>
      <c r="H13" s="27"/>
      <c r="I13" s="29"/>
      <c r="J13" s="28" t="str">
        <f t="shared" si="0"/>
        <v/>
      </c>
      <c r="K13" s="28">
        <f t="shared" si="1"/>
        <v>0</v>
      </c>
      <c r="L13" s="28" t="str">
        <f t="shared" si="2"/>
        <v/>
      </c>
      <c r="M13" s="28">
        <f t="shared" si="3"/>
        <v>30</v>
      </c>
      <c r="N13" s="30" t="str">
        <f>IF(OR($F13="Partial",$F13="No"),IF(Facility_Profile!$B$7="","",Facility_Profile!$B$7+$M13),"")</f>
        <v/>
      </c>
      <c r="O13" s="28" t="str">
        <f t="shared" si="4"/>
        <v>Missing response</v>
      </c>
      <c r="P13" s="28" t="str">
        <f>IF(OR($F13="Partial",$F13="No"),COUNTIF($F$3:$F13,"Partial")+COUNTIF($F$3:$F13,"No"),"")</f>
        <v/>
      </c>
      <c r="Q13" s="55" t="str">
        <f t="shared" si="5"/>
        <v/>
      </c>
    </row>
    <row r="14" spans="1:17" ht="48" customHeight="1">
      <c r="A14" s="13">
        <v>2</v>
      </c>
      <c r="B14" s="13" t="s">
        <v>233</v>
      </c>
      <c r="C14" s="13" t="s">
        <v>287</v>
      </c>
      <c r="D14" s="13" t="s">
        <v>141</v>
      </c>
      <c r="E14" s="13" t="s">
        <v>288</v>
      </c>
      <c r="F14" s="27"/>
      <c r="G14" s="27"/>
      <c r="H14" s="27"/>
      <c r="I14" s="29"/>
      <c r="J14" s="28" t="str">
        <f t="shared" si="0"/>
        <v/>
      </c>
      <c r="K14" s="28">
        <f t="shared" si="1"/>
        <v>0</v>
      </c>
      <c r="L14" s="28" t="str">
        <f t="shared" si="2"/>
        <v/>
      </c>
      <c r="M14" s="28">
        <f t="shared" si="3"/>
        <v>90</v>
      </c>
      <c r="N14" s="30" t="str">
        <f>IF(OR($F14="Partial",$F14="No"),IF(Facility_Profile!$B$7="","",Facility_Profile!$B$7+$M14),"")</f>
        <v/>
      </c>
      <c r="O14" s="28" t="str">
        <f t="shared" si="4"/>
        <v>Missing response</v>
      </c>
      <c r="P14" s="28" t="str">
        <f>IF(OR($F14="Partial",$F14="No"),COUNTIF($F$3:$F14,"Partial")+COUNTIF($F$3:$F14,"No"),"")</f>
        <v/>
      </c>
      <c r="Q14" s="55" t="str">
        <f t="shared" si="5"/>
        <v/>
      </c>
    </row>
    <row r="15" spans="1:17" ht="48" customHeight="1">
      <c r="A15" s="13">
        <v>2</v>
      </c>
      <c r="B15" s="13" t="s">
        <v>233</v>
      </c>
      <c r="C15" s="13" t="s">
        <v>289</v>
      </c>
      <c r="D15" s="13" t="s">
        <v>141</v>
      </c>
      <c r="E15" s="13" t="s">
        <v>290</v>
      </c>
      <c r="F15" s="27"/>
      <c r="G15" s="27"/>
      <c r="H15" s="27"/>
      <c r="I15" s="29"/>
      <c r="J15" s="28" t="str">
        <f t="shared" si="0"/>
        <v/>
      </c>
      <c r="K15" s="28">
        <f t="shared" si="1"/>
        <v>0</v>
      </c>
      <c r="L15" s="28" t="str">
        <f t="shared" si="2"/>
        <v/>
      </c>
      <c r="M15" s="28">
        <f t="shared" si="3"/>
        <v>90</v>
      </c>
      <c r="N15" s="30" t="str">
        <f>IF(OR($F15="Partial",$F15="No"),IF(Facility_Profile!$B$7="","",Facility_Profile!$B$7+$M15),"")</f>
        <v/>
      </c>
      <c r="O15" s="28" t="str">
        <f t="shared" si="4"/>
        <v>Missing response</v>
      </c>
      <c r="P15" s="28" t="str">
        <f>IF(OR($F15="Partial",$F15="No"),COUNTIF($F$3:$F15,"Partial")+COUNTIF($F$3:$F15,"No"),"")</f>
        <v/>
      </c>
      <c r="Q15" s="55" t="str">
        <f t="shared" si="5"/>
        <v/>
      </c>
    </row>
    <row r="16" spans="1:17" ht="48" customHeight="1">
      <c r="A16" s="13">
        <v>3</v>
      </c>
      <c r="B16" s="13" t="s">
        <v>234</v>
      </c>
      <c r="C16" s="13" t="s">
        <v>291</v>
      </c>
      <c r="D16" s="13" t="s">
        <v>134</v>
      </c>
      <c r="E16" s="13" t="s">
        <v>292</v>
      </c>
      <c r="F16" s="27"/>
      <c r="G16" s="27"/>
      <c r="H16" s="27"/>
      <c r="I16" s="29"/>
      <c r="J16" s="28" t="str">
        <f t="shared" si="0"/>
        <v/>
      </c>
      <c r="K16" s="28">
        <f t="shared" si="1"/>
        <v>0</v>
      </c>
      <c r="L16" s="28" t="str">
        <f t="shared" si="2"/>
        <v/>
      </c>
      <c r="M16" s="28">
        <f t="shared" si="3"/>
        <v>30</v>
      </c>
      <c r="N16" s="30" t="str">
        <f>IF(OR($F16="Partial",$F16="No"),IF(Facility_Profile!$B$7="","",Facility_Profile!$B$7+$M16),"")</f>
        <v/>
      </c>
      <c r="O16" s="28" t="str">
        <f t="shared" si="4"/>
        <v>Missing response</v>
      </c>
      <c r="P16" s="28" t="str">
        <f>IF(OR($F16="Partial",$F16="No"),COUNTIF($F$3:$F16,"Partial")+COUNTIF($F$3:$F16,"No"),"")</f>
        <v/>
      </c>
      <c r="Q16" s="55" t="str">
        <f t="shared" si="5"/>
        <v/>
      </c>
    </row>
    <row r="17" spans="1:17" ht="48" customHeight="1">
      <c r="A17" s="13">
        <v>3</v>
      </c>
      <c r="B17" s="13" t="s">
        <v>234</v>
      </c>
      <c r="C17" s="13" t="s">
        <v>293</v>
      </c>
      <c r="D17" s="13" t="s">
        <v>134</v>
      </c>
      <c r="E17" s="13" t="s">
        <v>294</v>
      </c>
      <c r="F17" s="27"/>
      <c r="G17" s="27"/>
      <c r="H17" s="27"/>
      <c r="I17" s="29"/>
      <c r="J17" s="28" t="str">
        <f t="shared" si="0"/>
        <v/>
      </c>
      <c r="K17" s="28">
        <f t="shared" si="1"/>
        <v>0</v>
      </c>
      <c r="L17" s="28" t="str">
        <f t="shared" si="2"/>
        <v/>
      </c>
      <c r="M17" s="28">
        <f t="shared" si="3"/>
        <v>30</v>
      </c>
      <c r="N17" s="30" t="str">
        <f>IF(OR($F17="Partial",$F17="No"),IF(Facility_Profile!$B$7="","",Facility_Profile!$B$7+$M17),"")</f>
        <v/>
      </c>
      <c r="O17" s="28" t="str">
        <f t="shared" si="4"/>
        <v>Missing response</v>
      </c>
      <c r="P17" s="28" t="str">
        <f>IF(OR($F17="Partial",$F17="No"),COUNTIF($F$3:$F17,"Partial")+COUNTIF($F$3:$F17,"No"),"")</f>
        <v/>
      </c>
      <c r="Q17" s="55" t="str">
        <f t="shared" si="5"/>
        <v/>
      </c>
    </row>
    <row r="18" spans="1:17" ht="48" customHeight="1">
      <c r="A18" s="13">
        <v>3</v>
      </c>
      <c r="B18" s="13" t="s">
        <v>234</v>
      </c>
      <c r="C18" s="13" t="s">
        <v>295</v>
      </c>
      <c r="D18" s="13" t="s">
        <v>134</v>
      </c>
      <c r="E18" s="13" t="s">
        <v>296</v>
      </c>
      <c r="F18" s="27"/>
      <c r="G18" s="27"/>
      <c r="H18" s="27"/>
      <c r="I18" s="29"/>
      <c r="J18" s="28" t="str">
        <f t="shared" si="0"/>
        <v/>
      </c>
      <c r="K18" s="28">
        <f t="shared" si="1"/>
        <v>0</v>
      </c>
      <c r="L18" s="28" t="str">
        <f t="shared" si="2"/>
        <v/>
      </c>
      <c r="M18" s="28">
        <f t="shared" si="3"/>
        <v>30</v>
      </c>
      <c r="N18" s="30" t="str">
        <f>IF(OR($F18="Partial",$F18="No"),IF(Facility_Profile!$B$7="","",Facility_Profile!$B$7+$M18),"")</f>
        <v/>
      </c>
      <c r="O18" s="28" t="str">
        <f t="shared" si="4"/>
        <v>Missing response</v>
      </c>
      <c r="P18" s="28" t="str">
        <f>IF(OR($F18="Partial",$F18="No"),COUNTIF($F$3:$F18,"Partial")+COUNTIF($F$3:$F18,"No"),"")</f>
        <v/>
      </c>
      <c r="Q18" s="55" t="str">
        <f t="shared" si="5"/>
        <v/>
      </c>
    </row>
    <row r="19" spans="1:17" ht="48" customHeight="1">
      <c r="A19" s="13">
        <v>3</v>
      </c>
      <c r="B19" s="13" t="s">
        <v>234</v>
      </c>
      <c r="C19" s="13" t="s">
        <v>297</v>
      </c>
      <c r="D19" s="13" t="s">
        <v>134</v>
      </c>
      <c r="E19" s="13" t="s">
        <v>298</v>
      </c>
      <c r="F19" s="27"/>
      <c r="G19" s="27"/>
      <c r="H19" s="27"/>
      <c r="I19" s="29"/>
      <c r="J19" s="28" t="str">
        <f t="shared" si="0"/>
        <v/>
      </c>
      <c r="K19" s="28">
        <f t="shared" si="1"/>
        <v>0</v>
      </c>
      <c r="L19" s="28" t="str">
        <f t="shared" si="2"/>
        <v/>
      </c>
      <c r="M19" s="28">
        <f t="shared" si="3"/>
        <v>30</v>
      </c>
      <c r="N19" s="30" t="str">
        <f>IF(OR($F19="Partial",$F19="No"),IF(Facility_Profile!$B$7="","",Facility_Profile!$B$7+$M19),"")</f>
        <v/>
      </c>
      <c r="O19" s="28" t="str">
        <f t="shared" si="4"/>
        <v>Missing response</v>
      </c>
      <c r="P19" s="28" t="str">
        <f>IF(OR($F19="Partial",$F19="No"),COUNTIF($F$3:$F19,"Partial")+COUNTIF($F$3:$F19,"No"),"")</f>
        <v/>
      </c>
      <c r="Q19" s="55" t="str">
        <f t="shared" si="5"/>
        <v/>
      </c>
    </row>
    <row r="20" spans="1:17" ht="48" customHeight="1">
      <c r="A20" s="13">
        <v>3</v>
      </c>
      <c r="B20" s="13" t="s">
        <v>234</v>
      </c>
      <c r="C20" s="13" t="s">
        <v>299</v>
      </c>
      <c r="D20" s="13" t="s">
        <v>134</v>
      </c>
      <c r="E20" s="13" t="s">
        <v>300</v>
      </c>
      <c r="F20" s="27"/>
      <c r="G20" s="27"/>
      <c r="H20" s="27"/>
      <c r="I20" s="29"/>
      <c r="J20" s="28" t="str">
        <f t="shared" si="0"/>
        <v/>
      </c>
      <c r="K20" s="28">
        <f t="shared" si="1"/>
        <v>0</v>
      </c>
      <c r="L20" s="28" t="str">
        <f t="shared" si="2"/>
        <v/>
      </c>
      <c r="M20" s="28">
        <f t="shared" si="3"/>
        <v>30</v>
      </c>
      <c r="N20" s="30" t="str">
        <f>IF(OR($F20="Partial",$F20="No"),IF(Facility_Profile!$B$7="","",Facility_Profile!$B$7+$M20),"")</f>
        <v/>
      </c>
      <c r="O20" s="28" t="str">
        <f t="shared" si="4"/>
        <v>Missing response</v>
      </c>
      <c r="P20" s="28" t="str">
        <f>IF(OR($F20="Partial",$F20="No"),COUNTIF($F$3:$F20,"Partial")+COUNTIF($F$3:$F20,"No"),"")</f>
        <v/>
      </c>
      <c r="Q20" s="55" t="str">
        <f t="shared" si="5"/>
        <v/>
      </c>
    </row>
    <row r="21" spans="1:17" ht="48" customHeight="1">
      <c r="A21" s="13">
        <v>3</v>
      </c>
      <c r="B21" s="13" t="s">
        <v>234</v>
      </c>
      <c r="C21" s="13" t="s">
        <v>301</v>
      </c>
      <c r="D21" s="13" t="s">
        <v>141</v>
      </c>
      <c r="E21" s="13" t="s">
        <v>302</v>
      </c>
      <c r="F21" s="27"/>
      <c r="G21" s="27"/>
      <c r="H21" s="27"/>
      <c r="I21" s="29"/>
      <c r="J21" s="28" t="str">
        <f t="shared" si="0"/>
        <v/>
      </c>
      <c r="K21" s="28">
        <f t="shared" si="1"/>
        <v>0</v>
      </c>
      <c r="L21" s="28" t="str">
        <f t="shared" si="2"/>
        <v/>
      </c>
      <c r="M21" s="28">
        <f t="shared" si="3"/>
        <v>90</v>
      </c>
      <c r="N21" s="30" t="str">
        <f>IF(OR($F21="Partial",$F21="No"),IF(Facility_Profile!$B$7="","",Facility_Profile!$B$7+$M21),"")</f>
        <v/>
      </c>
      <c r="O21" s="28" t="str">
        <f t="shared" si="4"/>
        <v>Missing response</v>
      </c>
      <c r="P21" s="28" t="str">
        <f>IF(OR($F21="Partial",$F21="No"),COUNTIF($F$3:$F21,"Partial")+COUNTIF($F$3:$F21,"No"),"")</f>
        <v/>
      </c>
      <c r="Q21" s="55" t="str">
        <f t="shared" si="5"/>
        <v/>
      </c>
    </row>
    <row r="22" spans="1:17" ht="48" customHeight="1">
      <c r="A22" s="13">
        <v>3</v>
      </c>
      <c r="B22" s="13" t="s">
        <v>234</v>
      </c>
      <c r="C22" s="13" t="s">
        <v>303</v>
      </c>
      <c r="D22" s="13" t="s">
        <v>141</v>
      </c>
      <c r="E22" s="13" t="s">
        <v>304</v>
      </c>
      <c r="F22" s="27"/>
      <c r="G22" s="27"/>
      <c r="H22" s="27"/>
      <c r="I22" s="29"/>
      <c r="J22" s="28" t="str">
        <f t="shared" si="0"/>
        <v/>
      </c>
      <c r="K22" s="28">
        <f t="shared" si="1"/>
        <v>0</v>
      </c>
      <c r="L22" s="28" t="str">
        <f t="shared" si="2"/>
        <v/>
      </c>
      <c r="M22" s="28">
        <f t="shared" si="3"/>
        <v>90</v>
      </c>
      <c r="N22" s="30" t="str">
        <f>IF(OR($F22="Partial",$F22="No"),IF(Facility_Profile!$B$7="","",Facility_Profile!$B$7+$M22),"")</f>
        <v/>
      </c>
      <c r="O22" s="28" t="str">
        <f t="shared" si="4"/>
        <v>Missing response</v>
      </c>
      <c r="P22" s="28" t="str">
        <f>IF(OR($F22="Partial",$F22="No"),COUNTIF($F$3:$F22,"Partial")+COUNTIF($F$3:$F22,"No"),"")</f>
        <v/>
      </c>
      <c r="Q22" s="55" t="str">
        <f t="shared" si="5"/>
        <v/>
      </c>
    </row>
    <row r="23" spans="1:17" ht="48" customHeight="1">
      <c r="A23" s="13">
        <v>4</v>
      </c>
      <c r="B23" s="13" t="s">
        <v>235</v>
      </c>
      <c r="C23" s="13" t="s">
        <v>305</v>
      </c>
      <c r="D23" s="13" t="s">
        <v>134</v>
      </c>
      <c r="E23" s="13" t="s">
        <v>306</v>
      </c>
      <c r="F23" s="27"/>
      <c r="G23" s="27"/>
      <c r="H23" s="27"/>
      <c r="I23" s="29"/>
      <c r="J23" s="28" t="str">
        <f t="shared" si="0"/>
        <v/>
      </c>
      <c r="K23" s="28">
        <f t="shared" si="1"/>
        <v>0</v>
      </c>
      <c r="L23" s="28" t="str">
        <f t="shared" si="2"/>
        <v/>
      </c>
      <c r="M23" s="28">
        <f t="shared" si="3"/>
        <v>30</v>
      </c>
      <c r="N23" s="30" t="str">
        <f>IF(OR($F23="Partial",$F23="No"),IF(Facility_Profile!$B$7="","",Facility_Profile!$B$7+$M23),"")</f>
        <v/>
      </c>
      <c r="O23" s="28" t="str">
        <f t="shared" si="4"/>
        <v>Missing response</v>
      </c>
      <c r="P23" s="28" t="str">
        <f>IF(OR($F23="Partial",$F23="No"),COUNTIF($F$3:$F23,"Partial")+COUNTIF($F$3:$F23,"No"),"")</f>
        <v/>
      </c>
      <c r="Q23" s="55" t="str">
        <f t="shared" si="5"/>
        <v/>
      </c>
    </row>
    <row r="24" spans="1:17" ht="48" customHeight="1">
      <c r="A24" s="13">
        <v>4</v>
      </c>
      <c r="B24" s="13" t="s">
        <v>235</v>
      </c>
      <c r="C24" s="13" t="s">
        <v>307</v>
      </c>
      <c r="D24" s="13" t="s">
        <v>134</v>
      </c>
      <c r="E24" s="13" t="s">
        <v>308</v>
      </c>
      <c r="F24" s="27"/>
      <c r="G24" s="27"/>
      <c r="H24" s="27"/>
      <c r="I24" s="29"/>
      <c r="J24" s="28" t="str">
        <f t="shared" si="0"/>
        <v/>
      </c>
      <c r="K24" s="28">
        <f t="shared" si="1"/>
        <v>0</v>
      </c>
      <c r="L24" s="28" t="str">
        <f t="shared" si="2"/>
        <v/>
      </c>
      <c r="M24" s="28">
        <f t="shared" si="3"/>
        <v>30</v>
      </c>
      <c r="N24" s="30" t="str">
        <f>IF(OR($F24="Partial",$F24="No"),IF(Facility_Profile!$B$7="","",Facility_Profile!$B$7+$M24),"")</f>
        <v/>
      </c>
      <c r="O24" s="28" t="str">
        <f t="shared" si="4"/>
        <v>Missing response</v>
      </c>
      <c r="P24" s="28" t="str">
        <f>IF(OR($F24="Partial",$F24="No"),COUNTIF($F$3:$F24,"Partial")+COUNTIF($F$3:$F24,"No"),"")</f>
        <v/>
      </c>
      <c r="Q24" s="55" t="str">
        <f t="shared" si="5"/>
        <v/>
      </c>
    </row>
    <row r="25" spans="1:17" ht="48" customHeight="1">
      <c r="A25" s="13">
        <v>4</v>
      </c>
      <c r="B25" s="13" t="s">
        <v>235</v>
      </c>
      <c r="C25" s="13" t="s">
        <v>309</v>
      </c>
      <c r="D25" s="13" t="s">
        <v>134</v>
      </c>
      <c r="E25" s="13" t="s">
        <v>310</v>
      </c>
      <c r="F25" s="27"/>
      <c r="G25" s="27"/>
      <c r="H25" s="27"/>
      <c r="I25" s="29"/>
      <c r="J25" s="28" t="str">
        <f t="shared" si="0"/>
        <v/>
      </c>
      <c r="K25" s="28">
        <f t="shared" si="1"/>
        <v>0</v>
      </c>
      <c r="L25" s="28" t="str">
        <f t="shared" si="2"/>
        <v/>
      </c>
      <c r="M25" s="28">
        <f t="shared" si="3"/>
        <v>30</v>
      </c>
      <c r="N25" s="30" t="str">
        <f>IF(OR($F25="Partial",$F25="No"),IF(Facility_Profile!$B$7="","",Facility_Profile!$B$7+$M25),"")</f>
        <v/>
      </c>
      <c r="O25" s="28" t="str">
        <f t="shared" si="4"/>
        <v>Missing response</v>
      </c>
      <c r="P25" s="28" t="str">
        <f>IF(OR($F25="Partial",$F25="No"),COUNTIF($F$3:$F25,"Partial")+COUNTIF($F$3:$F25,"No"),"")</f>
        <v/>
      </c>
      <c r="Q25" s="55" t="str">
        <f t="shared" si="5"/>
        <v/>
      </c>
    </row>
    <row r="26" spans="1:17" ht="48" customHeight="1">
      <c r="A26" s="13">
        <v>4</v>
      </c>
      <c r="B26" s="13" t="s">
        <v>235</v>
      </c>
      <c r="C26" s="13" t="s">
        <v>311</v>
      </c>
      <c r="D26" s="13" t="s">
        <v>141</v>
      </c>
      <c r="E26" s="13" t="s">
        <v>312</v>
      </c>
      <c r="F26" s="27"/>
      <c r="G26" s="27"/>
      <c r="H26" s="27"/>
      <c r="I26" s="29"/>
      <c r="J26" s="28" t="str">
        <f t="shared" si="0"/>
        <v/>
      </c>
      <c r="K26" s="28">
        <f t="shared" si="1"/>
        <v>0</v>
      </c>
      <c r="L26" s="28" t="str">
        <f t="shared" si="2"/>
        <v/>
      </c>
      <c r="M26" s="28">
        <f t="shared" si="3"/>
        <v>90</v>
      </c>
      <c r="N26" s="30" t="str">
        <f>IF(OR($F26="Partial",$F26="No"),IF(Facility_Profile!$B$7="","",Facility_Profile!$B$7+$M26),"")</f>
        <v/>
      </c>
      <c r="O26" s="28" t="str">
        <f t="shared" si="4"/>
        <v>Missing response</v>
      </c>
      <c r="P26" s="28" t="str">
        <f>IF(OR($F26="Partial",$F26="No"),COUNTIF($F$3:$F26,"Partial")+COUNTIF($F$3:$F26,"No"),"")</f>
        <v/>
      </c>
      <c r="Q26" s="55" t="str">
        <f t="shared" si="5"/>
        <v/>
      </c>
    </row>
    <row r="27" spans="1:17" ht="48" customHeight="1">
      <c r="A27" s="13">
        <v>4</v>
      </c>
      <c r="B27" s="13" t="s">
        <v>235</v>
      </c>
      <c r="C27" s="13" t="s">
        <v>313</v>
      </c>
      <c r="D27" s="13" t="s">
        <v>141</v>
      </c>
      <c r="E27" s="13" t="s">
        <v>314</v>
      </c>
      <c r="F27" s="27"/>
      <c r="G27" s="27"/>
      <c r="H27" s="27"/>
      <c r="I27" s="29"/>
      <c r="J27" s="28" t="str">
        <f t="shared" si="0"/>
        <v/>
      </c>
      <c r="K27" s="28">
        <f t="shared" si="1"/>
        <v>0</v>
      </c>
      <c r="L27" s="28" t="str">
        <f t="shared" si="2"/>
        <v/>
      </c>
      <c r="M27" s="28">
        <f t="shared" si="3"/>
        <v>90</v>
      </c>
      <c r="N27" s="30" t="str">
        <f>IF(OR($F27="Partial",$F27="No"),IF(Facility_Profile!$B$7="","",Facility_Profile!$B$7+$M27),"")</f>
        <v/>
      </c>
      <c r="O27" s="28" t="str">
        <f t="shared" si="4"/>
        <v>Missing response</v>
      </c>
      <c r="P27" s="28" t="str">
        <f>IF(OR($F27="Partial",$F27="No"),COUNTIF($F$3:$F27,"Partial")+COUNTIF($F$3:$F27,"No"),"")</f>
        <v/>
      </c>
      <c r="Q27" s="55" t="str">
        <f t="shared" si="5"/>
        <v/>
      </c>
    </row>
    <row r="28" spans="1:17" ht="48" customHeight="1">
      <c r="A28" s="13">
        <v>4</v>
      </c>
      <c r="B28" s="13" t="s">
        <v>235</v>
      </c>
      <c r="C28" s="13" t="s">
        <v>315</v>
      </c>
      <c r="D28" s="13" t="s">
        <v>141</v>
      </c>
      <c r="E28" s="13" t="s">
        <v>316</v>
      </c>
      <c r="F28" s="27"/>
      <c r="G28" s="27"/>
      <c r="H28" s="27"/>
      <c r="I28" s="29"/>
      <c r="J28" s="28" t="str">
        <f t="shared" si="0"/>
        <v/>
      </c>
      <c r="K28" s="28">
        <f t="shared" si="1"/>
        <v>0</v>
      </c>
      <c r="L28" s="28" t="str">
        <f t="shared" si="2"/>
        <v/>
      </c>
      <c r="M28" s="28">
        <f t="shared" si="3"/>
        <v>90</v>
      </c>
      <c r="N28" s="30" t="str">
        <f>IF(OR($F28="Partial",$F28="No"),IF(Facility_Profile!$B$7="","",Facility_Profile!$B$7+$M28),"")</f>
        <v/>
      </c>
      <c r="O28" s="28" t="str">
        <f t="shared" si="4"/>
        <v>Missing response</v>
      </c>
      <c r="P28" s="28" t="str">
        <f>IF(OR($F28="Partial",$F28="No"),COUNTIF($F$3:$F28,"Partial")+COUNTIF($F$3:$F28,"No"),"")</f>
        <v/>
      </c>
      <c r="Q28" s="55" t="str">
        <f t="shared" si="5"/>
        <v/>
      </c>
    </row>
    <row r="29" spans="1:17" ht="48" customHeight="1">
      <c r="A29" s="13">
        <v>4</v>
      </c>
      <c r="B29" s="13" t="s">
        <v>235</v>
      </c>
      <c r="C29" s="13" t="s">
        <v>317</v>
      </c>
      <c r="D29" s="13" t="s">
        <v>141</v>
      </c>
      <c r="E29" s="13" t="s">
        <v>318</v>
      </c>
      <c r="F29" s="27"/>
      <c r="G29" s="27"/>
      <c r="H29" s="27"/>
      <c r="I29" s="29"/>
      <c r="J29" s="28" t="str">
        <f t="shared" si="0"/>
        <v/>
      </c>
      <c r="K29" s="28">
        <f t="shared" si="1"/>
        <v>0</v>
      </c>
      <c r="L29" s="28" t="str">
        <f t="shared" si="2"/>
        <v/>
      </c>
      <c r="M29" s="28">
        <f t="shared" si="3"/>
        <v>90</v>
      </c>
      <c r="N29" s="30" t="str">
        <f>IF(OR($F29="Partial",$F29="No"),IF(Facility_Profile!$B$7="","",Facility_Profile!$B$7+$M29),"")</f>
        <v/>
      </c>
      <c r="O29" s="28" t="str">
        <f t="shared" si="4"/>
        <v>Missing response</v>
      </c>
      <c r="P29" s="28" t="str">
        <f>IF(OR($F29="Partial",$F29="No"),COUNTIF($F$3:$F29,"Partial")+COUNTIF($F$3:$F29,"No"),"")</f>
        <v/>
      </c>
      <c r="Q29" s="55" t="str">
        <f t="shared" si="5"/>
        <v/>
      </c>
    </row>
    <row r="30" spans="1:17" ht="48" customHeight="1">
      <c r="A30" s="13">
        <v>5</v>
      </c>
      <c r="B30" s="13" t="s">
        <v>236</v>
      </c>
      <c r="C30" s="13" t="s">
        <v>319</v>
      </c>
      <c r="D30" s="13" t="s">
        <v>134</v>
      </c>
      <c r="E30" s="13" t="s">
        <v>320</v>
      </c>
      <c r="F30" s="27"/>
      <c r="G30" s="27"/>
      <c r="H30" s="27"/>
      <c r="I30" s="29"/>
      <c r="J30" s="28" t="str">
        <f t="shared" si="0"/>
        <v/>
      </c>
      <c r="K30" s="28">
        <f t="shared" si="1"/>
        <v>0</v>
      </c>
      <c r="L30" s="28" t="str">
        <f t="shared" si="2"/>
        <v/>
      </c>
      <c r="M30" s="28">
        <f t="shared" si="3"/>
        <v>30</v>
      </c>
      <c r="N30" s="30" t="str">
        <f>IF(OR($F30="Partial",$F30="No"),IF(Facility_Profile!$B$7="","",Facility_Profile!$B$7+$M30),"")</f>
        <v/>
      </c>
      <c r="O30" s="28" t="str">
        <f t="shared" si="4"/>
        <v>Missing response</v>
      </c>
      <c r="P30" s="28" t="str">
        <f>IF(OR($F30="Partial",$F30="No"),COUNTIF($F$3:$F30,"Partial")+COUNTIF($F$3:$F30,"No"),"")</f>
        <v/>
      </c>
      <c r="Q30" s="55" t="str">
        <f t="shared" si="5"/>
        <v/>
      </c>
    </row>
    <row r="31" spans="1:17" ht="48" customHeight="1">
      <c r="A31" s="13">
        <v>5</v>
      </c>
      <c r="B31" s="13" t="s">
        <v>236</v>
      </c>
      <c r="C31" s="13" t="s">
        <v>321</v>
      </c>
      <c r="D31" s="13" t="s">
        <v>134</v>
      </c>
      <c r="E31" s="13" t="s">
        <v>322</v>
      </c>
      <c r="F31" s="27"/>
      <c r="G31" s="27"/>
      <c r="H31" s="27"/>
      <c r="I31" s="29"/>
      <c r="J31" s="28" t="str">
        <f t="shared" si="0"/>
        <v/>
      </c>
      <c r="K31" s="28">
        <f t="shared" si="1"/>
        <v>0</v>
      </c>
      <c r="L31" s="28" t="str">
        <f t="shared" si="2"/>
        <v/>
      </c>
      <c r="M31" s="28">
        <f t="shared" si="3"/>
        <v>30</v>
      </c>
      <c r="N31" s="30" t="str">
        <f>IF(OR($F31="Partial",$F31="No"),IF(Facility_Profile!$B$7="","",Facility_Profile!$B$7+$M31),"")</f>
        <v/>
      </c>
      <c r="O31" s="28" t="str">
        <f t="shared" si="4"/>
        <v>Missing response</v>
      </c>
      <c r="P31" s="28" t="str">
        <f>IF(OR($F31="Partial",$F31="No"),COUNTIF($F$3:$F31,"Partial")+COUNTIF($F$3:$F31,"No"),"")</f>
        <v/>
      </c>
      <c r="Q31" s="55" t="str">
        <f t="shared" si="5"/>
        <v/>
      </c>
    </row>
    <row r="32" spans="1:17" ht="48" customHeight="1">
      <c r="A32" s="13">
        <v>5</v>
      </c>
      <c r="B32" s="13" t="s">
        <v>236</v>
      </c>
      <c r="C32" s="13" t="s">
        <v>323</v>
      </c>
      <c r="D32" s="13" t="s">
        <v>134</v>
      </c>
      <c r="E32" s="13" t="s">
        <v>324</v>
      </c>
      <c r="F32" s="27"/>
      <c r="G32" s="27"/>
      <c r="H32" s="27"/>
      <c r="I32" s="29"/>
      <c r="J32" s="28" t="str">
        <f t="shared" si="0"/>
        <v/>
      </c>
      <c r="K32" s="28">
        <f t="shared" si="1"/>
        <v>0</v>
      </c>
      <c r="L32" s="28" t="str">
        <f t="shared" si="2"/>
        <v/>
      </c>
      <c r="M32" s="28">
        <f t="shared" si="3"/>
        <v>30</v>
      </c>
      <c r="N32" s="30" t="str">
        <f>IF(OR($F32="Partial",$F32="No"),IF(Facility_Profile!$B$7="","",Facility_Profile!$B$7+$M32),"")</f>
        <v/>
      </c>
      <c r="O32" s="28" t="str">
        <f t="shared" si="4"/>
        <v>Missing response</v>
      </c>
      <c r="P32" s="28" t="str">
        <f>IF(OR($F32="Partial",$F32="No"),COUNTIF($F$3:$F32,"Partial")+COUNTIF($F$3:$F32,"No"),"")</f>
        <v/>
      </c>
      <c r="Q32" s="55" t="str">
        <f t="shared" si="5"/>
        <v/>
      </c>
    </row>
    <row r="33" spans="1:17" ht="48" customHeight="1">
      <c r="A33" s="13">
        <v>5</v>
      </c>
      <c r="B33" s="13" t="s">
        <v>236</v>
      </c>
      <c r="C33" s="13" t="s">
        <v>325</v>
      </c>
      <c r="D33" s="13" t="s">
        <v>134</v>
      </c>
      <c r="E33" s="13" t="s">
        <v>326</v>
      </c>
      <c r="F33" s="27"/>
      <c r="G33" s="27"/>
      <c r="H33" s="27"/>
      <c r="I33" s="29"/>
      <c r="J33" s="28" t="str">
        <f t="shared" si="0"/>
        <v/>
      </c>
      <c r="K33" s="28">
        <f t="shared" si="1"/>
        <v>0</v>
      </c>
      <c r="L33" s="28" t="str">
        <f t="shared" si="2"/>
        <v/>
      </c>
      <c r="M33" s="28">
        <f t="shared" si="3"/>
        <v>30</v>
      </c>
      <c r="N33" s="30" t="str">
        <f>IF(OR($F33="Partial",$F33="No"),IF(Facility_Profile!$B$7="","",Facility_Profile!$B$7+$M33),"")</f>
        <v/>
      </c>
      <c r="O33" s="28" t="str">
        <f t="shared" si="4"/>
        <v>Missing response</v>
      </c>
      <c r="P33" s="28" t="str">
        <f>IF(OR($F33="Partial",$F33="No"),COUNTIF($F$3:$F33,"Partial")+COUNTIF($F$3:$F33,"No"),"")</f>
        <v/>
      </c>
      <c r="Q33" s="55" t="str">
        <f t="shared" si="5"/>
        <v/>
      </c>
    </row>
    <row r="34" spans="1:17" ht="48" customHeight="1">
      <c r="A34" s="13">
        <v>5</v>
      </c>
      <c r="B34" s="13" t="s">
        <v>236</v>
      </c>
      <c r="C34" s="13" t="s">
        <v>327</v>
      </c>
      <c r="D34" s="13" t="s">
        <v>141</v>
      </c>
      <c r="E34" s="13" t="s">
        <v>328</v>
      </c>
      <c r="F34" s="27"/>
      <c r="G34" s="27"/>
      <c r="H34" s="27"/>
      <c r="I34" s="29"/>
      <c r="J34" s="28" t="str">
        <f t="shared" si="0"/>
        <v/>
      </c>
      <c r="K34" s="28">
        <f t="shared" si="1"/>
        <v>0</v>
      </c>
      <c r="L34" s="28" t="str">
        <f t="shared" si="2"/>
        <v/>
      </c>
      <c r="M34" s="28">
        <f t="shared" si="3"/>
        <v>90</v>
      </c>
      <c r="N34" s="30" t="str">
        <f>IF(OR($F34="Partial",$F34="No"),IF(Facility_Profile!$B$7="","",Facility_Profile!$B$7+$M34),"")</f>
        <v/>
      </c>
      <c r="O34" s="28" t="str">
        <f t="shared" si="4"/>
        <v>Missing response</v>
      </c>
      <c r="P34" s="28" t="str">
        <f>IF(OR($F34="Partial",$F34="No"),COUNTIF($F$3:$F34,"Partial")+COUNTIF($F$3:$F34,"No"),"")</f>
        <v/>
      </c>
      <c r="Q34" s="55" t="str">
        <f t="shared" si="5"/>
        <v/>
      </c>
    </row>
    <row r="35" spans="1:17" ht="48" customHeight="1">
      <c r="A35" s="13">
        <v>5</v>
      </c>
      <c r="B35" s="13" t="s">
        <v>236</v>
      </c>
      <c r="C35" s="13" t="s">
        <v>329</v>
      </c>
      <c r="D35" s="13" t="s">
        <v>134</v>
      </c>
      <c r="E35" s="13" t="s">
        <v>330</v>
      </c>
      <c r="F35" s="27"/>
      <c r="G35" s="27"/>
      <c r="H35" s="27"/>
      <c r="I35" s="29"/>
      <c r="J35" s="28" t="str">
        <f t="shared" si="0"/>
        <v/>
      </c>
      <c r="K35" s="28">
        <f t="shared" si="1"/>
        <v>0</v>
      </c>
      <c r="L35" s="28" t="str">
        <f t="shared" si="2"/>
        <v/>
      </c>
      <c r="M35" s="28">
        <f t="shared" ref="M35:M66" si="6">IF($D35="P1",30,IF($D35="P2",90,IF($D35="P3",180,"")))</f>
        <v>30</v>
      </c>
      <c r="N35" s="30" t="str">
        <f>IF(OR($F35="Partial",$F35="No"),IF(Facility_Profile!$B$7="","",Facility_Profile!$B$7+$M35),"")</f>
        <v/>
      </c>
      <c r="O35" s="28" t="str">
        <f t="shared" si="4"/>
        <v>Missing response</v>
      </c>
      <c r="P35" s="28" t="str">
        <f>IF(OR($F35="Partial",$F35="No"),COUNTIF($F$3:$F35,"Partial")+COUNTIF($F$3:$F35,"No"),"")</f>
        <v/>
      </c>
      <c r="Q35" s="55" t="str">
        <f t="shared" ref="Q35:Q66" si="7">IFERROR($J35/$K35,"")</f>
        <v/>
      </c>
    </row>
    <row r="36" spans="1:17" ht="48" customHeight="1">
      <c r="A36" s="13">
        <v>5</v>
      </c>
      <c r="B36" s="13" t="s">
        <v>236</v>
      </c>
      <c r="C36" s="13" t="s">
        <v>331</v>
      </c>
      <c r="D36" s="13" t="s">
        <v>134</v>
      </c>
      <c r="E36" s="13" t="s">
        <v>332</v>
      </c>
      <c r="F36" s="27"/>
      <c r="G36" s="27"/>
      <c r="H36" s="27"/>
      <c r="I36" s="29"/>
      <c r="J36" s="28" t="str">
        <f t="shared" si="0"/>
        <v/>
      </c>
      <c r="K36" s="28">
        <f t="shared" si="1"/>
        <v>0</v>
      </c>
      <c r="L36" s="28" t="str">
        <f t="shared" si="2"/>
        <v/>
      </c>
      <c r="M36" s="28">
        <f t="shared" si="6"/>
        <v>30</v>
      </c>
      <c r="N36" s="30" t="str">
        <f>IF(OR($F36="Partial",$F36="No"),IF(Facility_Profile!$B$7="","",Facility_Profile!$B$7+$M36),"")</f>
        <v/>
      </c>
      <c r="O36" s="28" t="str">
        <f t="shared" si="4"/>
        <v>Missing response</v>
      </c>
      <c r="P36" s="28" t="str">
        <f>IF(OR($F36="Partial",$F36="No"),COUNTIF($F$3:$F36,"Partial")+COUNTIF($F$3:$F36,"No"),"")</f>
        <v/>
      </c>
      <c r="Q36" s="55" t="str">
        <f t="shared" si="7"/>
        <v/>
      </c>
    </row>
    <row r="37" spans="1:17" ht="48" customHeight="1">
      <c r="A37" s="13">
        <v>5</v>
      </c>
      <c r="B37" s="13" t="s">
        <v>236</v>
      </c>
      <c r="C37" s="13" t="s">
        <v>333</v>
      </c>
      <c r="D37" s="13" t="s">
        <v>141</v>
      </c>
      <c r="E37" s="13" t="s">
        <v>334</v>
      </c>
      <c r="F37" s="27"/>
      <c r="G37" s="27"/>
      <c r="H37" s="27"/>
      <c r="I37" s="29"/>
      <c r="J37" s="28" t="str">
        <f t="shared" si="0"/>
        <v/>
      </c>
      <c r="K37" s="28">
        <f t="shared" si="1"/>
        <v>0</v>
      </c>
      <c r="L37" s="28" t="str">
        <f t="shared" si="2"/>
        <v/>
      </c>
      <c r="M37" s="28">
        <f t="shared" si="6"/>
        <v>90</v>
      </c>
      <c r="N37" s="30" t="str">
        <f>IF(OR($F37="Partial",$F37="No"),IF(Facility_Profile!$B$7="","",Facility_Profile!$B$7+$M37),"")</f>
        <v/>
      </c>
      <c r="O37" s="28" t="str">
        <f t="shared" si="4"/>
        <v>Missing response</v>
      </c>
      <c r="P37" s="28" t="str">
        <f>IF(OR($F37="Partial",$F37="No"),COUNTIF($F$3:$F37,"Partial")+COUNTIF($F$3:$F37,"No"),"")</f>
        <v/>
      </c>
      <c r="Q37" s="55" t="str">
        <f t="shared" si="7"/>
        <v/>
      </c>
    </row>
    <row r="38" spans="1:17" ht="48" customHeight="1">
      <c r="A38" s="13">
        <v>5</v>
      </c>
      <c r="B38" s="13" t="s">
        <v>236</v>
      </c>
      <c r="C38" s="13" t="s">
        <v>335</v>
      </c>
      <c r="D38" s="13" t="s">
        <v>141</v>
      </c>
      <c r="E38" s="13" t="s">
        <v>336</v>
      </c>
      <c r="F38" s="27"/>
      <c r="G38" s="27"/>
      <c r="H38" s="27"/>
      <c r="I38" s="29"/>
      <c r="J38" s="28" t="str">
        <f t="shared" si="0"/>
        <v/>
      </c>
      <c r="K38" s="28">
        <f t="shared" si="1"/>
        <v>0</v>
      </c>
      <c r="L38" s="28" t="str">
        <f t="shared" si="2"/>
        <v/>
      </c>
      <c r="M38" s="28">
        <f t="shared" si="6"/>
        <v>90</v>
      </c>
      <c r="N38" s="30" t="str">
        <f>IF(OR($F38="Partial",$F38="No"),IF(Facility_Profile!$B$7="","",Facility_Profile!$B$7+$M38),"")</f>
        <v/>
      </c>
      <c r="O38" s="28" t="str">
        <f t="shared" si="4"/>
        <v>Missing response</v>
      </c>
      <c r="P38" s="28" t="str">
        <f>IF(OR($F38="Partial",$F38="No"),COUNTIF($F$3:$F38,"Partial")+COUNTIF($F$3:$F38,"No"),"")</f>
        <v/>
      </c>
      <c r="Q38" s="55" t="str">
        <f t="shared" si="7"/>
        <v/>
      </c>
    </row>
    <row r="39" spans="1:17" ht="48" customHeight="1">
      <c r="A39" s="13">
        <v>6</v>
      </c>
      <c r="B39" s="13" t="s">
        <v>237</v>
      </c>
      <c r="C39" s="13" t="s">
        <v>337</v>
      </c>
      <c r="D39" s="13" t="s">
        <v>134</v>
      </c>
      <c r="E39" s="13" t="s">
        <v>338</v>
      </c>
      <c r="F39" s="27"/>
      <c r="G39" s="27"/>
      <c r="H39" s="27"/>
      <c r="I39" s="29"/>
      <c r="J39" s="28" t="str">
        <f t="shared" si="0"/>
        <v/>
      </c>
      <c r="K39" s="28">
        <f t="shared" si="1"/>
        <v>0</v>
      </c>
      <c r="L39" s="28" t="str">
        <f t="shared" si="2"/>
        <v/>
      </c>
      <c r="M39" s="28">
        <f t="shared" si="6"/>
        <v>30</v>
      </c>
      <c r="N39" s="30" t="str">
        <f>IF(OR($F39="Partial",$F39="No"),IF(Facility_Profile!$B$7="","",Facility_Profile!$B$7+$M39),"")</f>
        <v/>
      </c>
      <c r="O39" s="28" t="str">
        <f t="shared" si="4"/>
        <v>Missing response</v>
      </c>
      <c r="P39" s="28" t="str">
        <f>IF(OR($F39="Partial",$F39="No"),COUNTIF($F$3:$F39,"Partial")+COUNTIF($F$3:$F39,"No"),"")</f>
        <v/>
      </c>
      <c r="Q39" s="55" t="str">
        <f t="shared" si="7"/>
        <v/>
      </c>
    </row>
    <row r="40" spans="1:17" ht="48" customHeight="1">
      <c r="A40" s="13">
        <v>6</v>
      </c>
      <c r="B40" s="13" t="s">
        <v>237</v>
      </c>
      <c r="C40" s="13" t="s">
        <v>339</v>
      </c>
      <c r="D40" s="13" t="s">
        <v>134</v>
      </c>
      <c r="E40" s="13" t="s">
        <v>340</v>
      </c>
      <c r="F40" s="27"/>
      <c r="G40" s="27"/>
      <c r="H40" s="27"/>
      <c r="I40" s="29"/>
      <c r="J40" s="28" t="str">
        <f t="shared" si="0"/>
        <v/>
      </c>
      <c r="K40" s="28">
        <f t="shared" si="1"/>
        <v>0</v>
      </c>
      <c r="L40" s="28" t="str">
        <f t="shared" si="2"/>
        <v/>
      </c>
      <c r="M40" s="28">
        <f t="shared" si="6"/>
        <v>30</v>
      </c>
      <c r="N40" s="30" t="str">
        <f>IF(OR($F40="Partial",$F40="No"),IF(Facility_Profile!$B$7="","",Facility_Profile!$B$7+$M40),"")</f>
        <v/>
      </c>
      <c r="O40" s="28" t="str">
        <f t="shared" si="4"/>
        <v>Missing response</v>
      </c>
      <c r="P40" s="28" t="str">
        <f>IF(OR($F40="Partial",$F40="No"),COUNTIF($F$3:$F40,"Partial")+COUNTIF($F$3:$F40,"No"),"")</f>
        <v/>
      </c>
      <c r="Q40" s="55" t="str">
        <f t="shared" si="7"/>
        <v/>
      </c>
    </row>
    <row r="41" spans="1:17" ht="48" customHeight="1">
      <c r="A41" s="13">
        <v>6</v>
      </c>
      <c r="B41" s="13" t="s">
        <v>237</v>
      </c>
      <c r="C41" s="13" t="s">
        <v>341</v>
      </c>
      <c r="D41" s="13" t="s">
        <v>134</v>
      </c>
      <c r="E41" s="13" t="s">
        <v>342</v>
      </c>
      <c r="F41" s="27"/>
      <c r="G41" s="27"/>
      <c r="H41" s="27"/>
      <c r="I41" s="29"/>
      <c r="J41" s="28" t="str">
        <f t="shared" si="0"/>
        <v/>
      </c>
      <c r="K41" s="28">
        <f t="shared" si="1"/>
        <v>0</v>
      </c>
      <c r="L41" s="28" t="str">
        <f t="shared" si="2"/>
        <v/>
      </c>
      <c r="M41" s="28">
        <f t="shared" si="6"/>
        <v>30</v>
      </c>
      <c r="N41" s="30" t="str">
        <f>IF(OR($F41="Partial",$F41="No"),IF(Facility_Profile!$B$7="","",Facility_Profile!$B$7+$M41),"")</f>
        <v/>
      </c>
      <c r="O41" s="28" t="str">
        <f t="shared" si="4"/>
        <v>Missing response</v>
      </c>
      <c r="P41" s="28" t="str">
        <f>IF(OR($F41="Partial",$F41="No"),COUNTIF($F$3:$F41,"Partial")+COUNTIF($F$3:$F41,"No"),"")</f>
        <v/>
      </c>
      <c r="Q41" s="55" t="str">
        <f t="shared" si="7"/>
        <v/>
      </c>
    </row>
    <row r="42" spans="1:17" ht="48" customHeight="1">
      <c r="A42" s="13">
        <v>6</v>
      </c>
      <c r="B42" s="13" t="s">
        <v>237</v>
      </c>
      <c r="C42" s="13" t="s">
        <v>343</v>
      </c>
      <c r="D42" s="13" t="s">
        <v>134</v>
      </c>
      <c r="E42" s="13" t="s">
        <v>344</v>
      </c>
      <c r="F42" s="27"/>
      <c r="G42" s="27"/>
      <c r="H42" s="27"/>
      <c r="I42" s="29"/>
      <c r="J42" s="28" t="str">
        <f t="shared" si="0"/>
        <v/>
      </c>
      <c r="K42" s="28">
        <f t="shared" si="1"/>
        <v>0</v>
      </c>
      <c r="L42" s="28" t="str">
        <f t="shared" si="2"/>
        <v/>
      </c>
      <c r="M42" s="28">
        <f t="shared" si="6"/>
        <v>30</v>
      </c>
      <c r="N42" s="30" t="str">
        <f>IF(OR($F42="Partial",$F42="No"),IF(Facility_Profile!$B$7="","",Facility_Profile!$B$7+$M42),"")</f>
        <v/>
      </c>
      <c r="O42" s="28" t="str">
        <f t="shared" si="4"/>
        <v>Missing response</v>
      </c>
      <c r="P42" s="28" t="str">
        <f>IF(OR($F42="Partial",$F42="No"),COUNTIF($F$3:$F42,"Partial")+COUNTIF($F$3:$F42,"No"),"")</f>
        <v/>
      </c>
      <c r="Q42" s="55" t="str">
        <f t="shared" si="7"/>
        <v/>
      </c>
    </row>
    <row r="43" spans="1:17" ht="48" customHeight="1">
      <c r="A43" s="13">
        <v>6</v>
      </c>
      <c r="B43" s="13" t="s">
        <v>237</v>
      </c>
      <c r="C43" s="13" t="s">
        <v>345</v>
      </c>
      <c r="D43" s="13" t="s">
        <v>134</v>
      </c>
      <c r="E43" s="13" t="s">
        <v>346</v>
      </c>
      <c r="F43" s="27"/>
      <c r="G43" s="27"/>
      <c r="H43" s="27"/>
      <c r="I43" s="29"/>
      <c r="J43" s="28" t="str">
        <f t="shared" si="0"/>
        <v/>
      </c>
      <c r="K43" s="28">
        <f t="shared" si="1"/>
        <v>0</v>
      </c>
      <c r="L43" s="28" t="str">
        <f t="shared" si="2"/>
        <v/>
      </c>
      <c r="M43" s="28">
        <f t="shared" si="6"/>
        <v>30</v>
      </c>
      <c r="N43" s="30" t="str">
        <f>IF(OR($F43="Partial",$F43="No"),IF(Facility_Profile!$B$7="","",Facility_Profile!$B$7+$M43),"")</f>
        <v/>
      </c>
      <c r="O43" s="28" t="str">
        <f t="shared" si="4"/>
        <v>Missing response</v>
      </c>
      <c r="P43" s="28" t="str">
        <f>IF(OR($F43="Partial",$F43="No"),COUNTIF($F$3:$F43,"Partial")+COUNTIF($F$3:$F43,"No"),"")</f>
        <v/>
      </c>
      <c r="Q43" s="55" t="str">
        <f t="shared" si="7"/>
        <v/>
      </c>
    </row>
    <row r="44" spans="1:17" ht="48" customHeight="1">
      <c r="A44" s="13">
        <v>6</v>
      </c>
      <c r="B44" s="13" t="s">
        <v>237</v>
      </c>
      <c r="C44" s="13" t="s">
        <v>347</v>
      </c>
      <c r="D44" s="13" t="s">
        <v>134</v>
      </c>
      <c r="E44" s="13" t="s">
        <v>348</v>
      </c>
      <c r="F44" s="27"/>
      <c r="G44" s="27"/>
      <c r="H44" s="27"/>
      <c r="I44" s="29"/>
      <c r="J44" s="28" t="str">
        <f t="shared" si="0"/>
        <v/>
      </c>
      <c r="K44" s="28">
        <f t="shared" si="1"/>
        <v>0</v>
      </c>
      <c r="L44" s="28" t="str">
        <f t="shared" si="2"/>
        <v/>
      </c>
      <c r="M44" s="28">
        <f t="shared" si="6"/>
        <v>30</v>
      </c>
      <c r="N44" s="30" t="str">
        <f>IF(OR($F44="Partial",$F44="No"),IF(Facility_Profile!$B$7="","",Facility_Profile!$B$7+$M44),"")</f>
        <v/>
      </c>
      <c r="O44" s="28" t="str">
        <f t="shared" si="4"/>
        <v>Missing response</v>
      </c>
      <c r="P44" s="28" t="str">
        <f>IF(OR($F44="Partial",$F44="No"),COUNTIF($F$3:$F44,"Partial")+COUNTIF($F$3:$F44,"No"),"")</f>
        <v/>
      </c>
      <c r="Q44" s="55" t="str">
        <f t="shared" si="7"/>
        <v/>
      </c>
    </row>
    <row r="45" spans="1:17" ht="48" customHeight="1">
      <c r="A45" s="13">
        <v>6</v>
      </c>
      <c r="B45" s="13" t="s">
        <v>237</v>
      </c>
      <c r="C45" s="13" t="s">
        <v>349</v>
      </c>
      <c r="D45" s="13" t="s">
        <v>134</v>
      </c>
      <c r="E45" s="13" t="s">
        <v>350</v>
      </c>
      <c r="F45" s="27"/>
      <c r="G45" s="27"/>
      <c r="H45" s="27"/>
      <c r="I45" s="29"/>
      <c r="J45" s="28" t="str">
        <f t="shared" si="0"/>
        <v/>
      </c>
      <c r="K45" s="28">
        <f t="shared" si="1"/>
        <v>0</v>
      </c>
      <c r="L45" s="28" t="str">
        <f t="shared" si="2"/>
        <v/>
      </c>
      <c r="M45" s="28">
        <f t="shared" si="6"/>
        <v>30</v>
      </c>
      <c r="N45" s="30" t="str">
        <f>IF(OR($F45="Partial",$F45="No"),IF(Facility_Profile!$B$7="","",Facility_Profile!$B$7+$M45),"")</f>
        <v/>
      </c>
      <c r="O45" s="28" t="str">
        <f t="shared" si="4"/>
        <v>Missing response</v>
      </c>
      <c r="P45" s="28" t="str">
        <f>IF(OR($F45="Partial",$F45="No"),COUNTIF($F$3:$F45,"Partial")+COUNTIF($F$3:$F45,"No"),"")</f>
        <v/>
      </c>
      <c r="Q45" s="55" t="str">
        <f t="shared" si="7"/>
        <v/>
      </c>
    </row>
    <row r="46" spans="1:17" ht="48" customHeight="1">
      <c r="A46" s="13">
        <v>6</v>
      </c>
      <c r="B46" s="13" t="s">
        <v>237</v>
      </c>
      <c r="C46" s="13" t="s">
        <v>351</v>
      </c>
      <c r="D46" s="13" t="s">
        <v>141</v>
      </c>
      <c r="E46" s="13" t="s">
        <v>352</v>
      </c>
      <c r="F46" s="27"/>
      <c r="G46" s="27"/>
      <c r="H46" s="27"/>
      <c r="I46" s="29"/>
      <c r="J46" s="28" t="str">
        <f t="shared" si="0"/>
        <v/>
      </c>
      <c r="K46" s="28">
        <f t="shared" si="1"/>
        <v>0</v>
      </c>
      <c r="L46" s="28" t="str">
        <f t="shared" si="2"/>
        <v/>
      </c>
      <c r="M46" s="28">
        <f t="shared" si="6"/>
        <v>90</v>
      </c>
      <c r="N46" s="30" t="str">
        <f>IF(OR($F46="Partial",$F46="No"),IF(Facility_Profile!$B$7="","",Facility_Profile!$B$7+$M46),"")</f>
        <v/>
      </c>
      <c r="O46" s="28" t="str">
        <f t="shared" si="4"/>
        <v>Missing response</v>
      </c>
      <c r="P46" s="28" t="str">
        <f>IF(OR($F46="Partial",$F46="No"),COUNTIF($F$3:$F46,"Partial")+COUNTIF($F$3:$F46,"No"),"")</f>
        <v/>
      </c>
      <c r="Q46" s="55" t="str">
        <f t="shared" si="7"/>
        <v/>
      </c>
    </row>
    <row r="47" spans="1:17" ht="48" customHeight="1">
      <c r="A47" s="13">
        <v>6</v>
      </c>
      <c r="B47" s="13" t="s">
        <v>237</v>
      </c>
      <c r="C47" s="13" t="s">
        <v>353</v>
      </c>
      <c r="D47" s="13" t="s">
        <v>141</v>
      </c>
      <c r="E47" s="13" t="s">
        <v>354</v>
      </c>
      <c r="F47" s="27"/>
      <c r="G47" s="27"/>
      <c r="H47" s="27"/>
      <c r="I47" s="29"/>
      <c r="J47" s="28" t="str">
        <f t="shared" si="0"/>
        <v/>
      </c>
      <c r="K47" s="28">
        <f t="shared" si="1"/>
        <v>0</v>
      </c>
      <c r="L47" s="28" t="str">
        <f t="shared" si="2"/>
        <v/>
      </c>
      <c r="M47" s="28">
        <f t="shared" si="6"/>
        <v>90</v>
      </c>
      <c r="N47" s="30" t="str">
        <f>IF(OR($F47="Partial",$F47="No"),IF(Facility_Profile!$B$7="","",Facility_Profile!$B$7+$M47),"")</f>
        <v/>
      </c>
      <c r="O47" s="28" t="str">
        <f t="shared" si="4"/>
        <v>Missing response</v>
      </c>
      <c r="P47" s="28" t="str">
        <f>IF(OR($F47="Partial",$F47="No"),COUNTIF($F$3:$F47,"Partial")+COUNTIF($F$3:$F47,"No"),"")</f>
        <v/>
      </c>
      <c r="Q47" s="55" t="str">
        <f t="shared" si="7"/>
        <v/>
      </c>
    </row>
    <row r="48" spans="1:17" ht="40.5" customHeight="1">
      <c r="A48" s="39">
        <v>7</v>
      </c>
      <c r="B48" s="39" t="s">
        <v>238</v>
      </c>
      <c r="C48" s="44" t="s">
        <v>355</v>
      </c>
      <c r="D48" s="44" t="s">
        <v>134</v>
      </c>
      <c r="E48" s="63" t="s">
        <v>356</v>
      </c>
      <c r="F48" s="45" t="str">
        <f>IF(COUNTIF($F$49:$F$54,"Yes")+COUNTIF($F$49:$F$54,"Partial")+COUNTIF($F$49:$F$54,"No")+COUNTIF($F$49:$F$54,"N/A")&lt;6,"Incomplete - complete 6 OI lines",IF($K48=0,"All six marked N/A",$J48&amp;"/"&amp;$K48&amp;" ready"))</f>
        <v>Incomplete - complete 6 OI lines</v>
      </c>
      <c r="G48" s="46" t="s">
        <v>357</v>
      </c>
      <c r="H48" s="40"/>
      <c r="I48" s="41"/>
      <c r="J48" s="42">
        <f>SUM($J$49:$J$54)</f>
        <v>1</v>
      </c>
      <c r="K48" s="42">
        <f>SUM($K$49:$K$54)</f>
        <v>2</v>
      </c>
      <c r="L48" s="42" t="str">
        <f>IF(COUNTIF($F$49:$F$54,"Partial")+COUNTIF($F$49:$F$54,"No")&gt;0,"See sub-item gap(s)","")</f>
        <v>See sub-item gap(s)</v>
      </c>
      <c r="M48" s="42">
        <f t="shared" si="6"/>
        <v>30</v>
      </c>
      <c r="N48" s="43" t="str">
        <f>IF(COUNT($N$49:$N$54)=0,"",MIN($N$49:$N$54))</f>
        <v/>
      </c>
      <c r="O48" s="47" t="str">
        <f>"Parent summary - not scored separately"</f>
        <v>Parent summary - not scored separately</v>
      </c>
      <c r="P48" s="42" t="str">
        <f>""</f>
        <v/>
      </c>
      <c r="Q48" s="56">
        <f t="shared" si="7"/>
        <v>0.5</v>
      </c>
    </row>
    <row r="49" spans="1:17" ht="75.75" customHeight="1">
      <c r="A49" s="48">
        <v>7</v>
      </c>
      <c r="B49" s="48" t="s">
        <v>238</v>
      </c>
      <c r="C49" s="48" t="s">
        <v>358</v>
      </c>
      <c r="D49" s="48" t="s">
        <v>134</v>
      </c>
      <c r="E49" s="64" t="s">
        <v>637</v>
      </c>
      <c r="F49" s="49" t="s">
        <v>223</v>
      </c>
      <c r="G49" s="49"/>
      <c r="H49" s="49"/>
      <c r="I49" s="50"/>
      <c r="J49" s="42">
        <f t="shared" ref="J49:J54" si="8">IF($F49="Yes",1,IF(OR($F49="Partial",$F49="No"),0,""))</f>
        <v>1</v>
      </c>
      <c r="K49" s="42">
        <f t="shared" ref="K49:K54" si="9">IF(OR($F49="Yes",$F49="Partial",$F49="No"),1,0)</f>
        <v>1</v>
      </c>
      <c r="L49" s="42" t="str">
        <f t="shared" ref="L49:L54" si="10">IF(AND($D49="P1",OR($F49="Partial",$F49="No")),"P1 gap",IF(OR($F49="Partial",$F49="No"),"Gap",""))</f>
        <v/>
      </c>
      <c r="M49" s="42">
        <f t="shared" si="6"/>
        <v>30</v>
      </c>
      <c r="N49" s="43" t="str">
        <f>IF(OR($F49="Partial",$F49="No"),IF(Facility_Profile!$B$7="","",Facility_Profile!$B$7+$M49),"")</f>
        <v/>
      </c>
      <c r="O49" s="42" t="str">
        <f t="shared" ref="O49:O54" si="11">IF($F49="","Missing response",IF(OR($F49="Yes",$F49="Partial",$F49="No",$F49="N/A"),"OK","Check response"))</f>
        <v>OK</v>
      </c>
      <c r="P49" s="42" t="str">
        <f>IF(OR($F49="Partial",$F49="No"),COUNTIF($F$3:$F49,"Partial")+COUNTIF($F$3:$F49,"No"),"")</f>
        <v/>
      </c>
      <c r="Q49" s="56">
        <f t="shared" si="7"/>
        <v>1</v>
      </c>
    </row>
    <row r="50" spans="1:17" ht="82.5" customHeight="1">
      <c r="A50" s="52">
        <v>7</v>
      </c>
      <c r="B50" s="52" t="s">
        <v>238</v>
      </c>
      <c r="C50" s="52" t="s">
        <v>359</v>
      </c>
      <c r="D50" s="52" t="s">
        <v>134</v>
      </c>
      <c r="E50" s="65" t="s">
        <v>638</v>
      </c>
      <c r="F50" s="49" t="s">
        <v>224</v>
      </c>
      <c r="G50" s="49"/>
      <c r="H50" s="49"/>
      <c r="I50" s="50"/>
      <c r="J50" s="42">
        <f t="shared" si="8"/>
        <v>0</v>
      </c>
      <c r="K50" s="42">
        <f t="shared" si="9"/>
        <v>1</v>
      </c>
      <c r="L50" s="42" t="str">
        <f t="shared" si="10"/>
        <v>P1 gap</v>
      </c>
      <c r="M50" s="42">
        <f t="shared" si="6"/>
        <v>30</v>
      </c>
      <c r="N50" s="43" t="str">
        <f>IF(OR($F50="Partial",$F50="No"),IF(Facility_Profile!$B$7="","",Facility_Profile!$B$7+$M50),"")</f>
        <v/>
      </c>
      <c r="O50" s="42" t="str">
        <f t="shared" si="11"/>
        <v>OK</v>
      </c>
      <c r="P50" s="42">
        <f>IF(OR($F50="Partial",$F50="No"),COUNTIF($F$3:$F50,"Partial")+COUNTIF($F$3:$F50,"No"),"")</f>
        <v>1</v>
      </c>
      <c r="Q50" s="56">
        <f t="shared" si="7"/>
        <v>0</v>
      </c>
    </row>
    <row r="51" spans="1:17" ht="86.25" customHeight="1">
      <c r="A51" s="48">
        <v>7</v>
      </c>
      <c r="B51" s="48" t="s">
        <v>238</v>
      </c>
      <c r="C51" s="48" t="s">
        <v>360</v>
      </c>
      <c r="D51" s="48" t="s">
        <v>134</v>
      </c>
      <c r="E51" s="64" t="s">
        <v>639</v>
      </c>
      <c r="F51" s="49"/>
      <c r="G51" s="49"/>
      <c r="H51" s="49"/>
      <c r="I51" s="50"/>
      <c r="J51" s="42" t="str">
        <f t="shared" si="8"/>
        <v/>
      </c>
      <c r="K51" s="42">
        <f t="shared" si="9"/>
        <v>0</v>
      </c>
      <c r="L51" s="42" t="str">
        <f t="shared" si="10"/>
        <v/>
      </c>
      <c r="M51" s="42">
        <f t="shared" si="6"/>
        <v>30</v>
      </c>
      <c r="N51" s="43" t="str">
        <f>IF(OR($F51="Partial",$F51="No"),IF(Facility_Profile!$B$7="","",Facility_Profile!$B$7+$M51),"")</f>
        <v/>
      </c>
      <c r="O51" s="42" t="str">
        <f t="shared" si="11"/>
        <v>Missing response</v>
      </c>
      <c r="P51" s="42" t="str">
        <f>IF(OR($F51="Partial",$F51="No"),COUNTIF($F$3:$F51,"Partial")+COUNTIF($F$3:$F51,"No"),"")</f>
        <v/>
      </c>
      <c r="Q51" s="56" t="str">
        <f t="shared" si="7"/>
        <v/>
      </c>
    </row>
    <row r="52" spans="1:17" ht="78.75" customHeight="1">
      <c r="A52" s="52">
        <v>7</v>
      </c>
      <c r="B52" s="52" t="s">
        <v>238</v>
      </c>
      <c r="C52" s="52" t="s">
        <v>361</v>
      </c>
      <c r="D52" s="52" t="s">
        <v>134</v>
      </c>
      <c r="E52" s="65" t="s">
        <v>640</v>
      </c>
      <c r="F52" s="49"/>
      <c r="G52" s="49"/>
      <c r="H52" s="49"/>
      <c r="I52" s="50"/>
      <c r="J52" s="42" t="str">
        <f t="shared" si="8"/>
        <v/>
      </c>
      <c r="K52" s="42">
        <f t="shared" si="9"/>
        <v>0</v>
      </c>
      <c r="L52" s="42" t="str">
        <f t="shared" si="10"/>
        <v/>
      </c>
      <c r="M52" s="42">
        <f t="shared" si="6"/>
        <v>30</v>
      </c>
      <c r="N52" s="43" t="str">
        <f>IF(OR($F52="Partial",$F52="No"),IF(Facility_Profile!$B$7="","",Facility_Profile!$B$7+$M52),"")</f>
        <v/>
      </c>
      <c r="O52" s="42" t="str">
        <f t="shared" si="11"/>
        <v>Missing response</v>
      </c>
      <c r="P52" s="42" t="str">
        <f>IF(OR($F52="Partial",$F52="No"),COUNTIF($F$3:$F52,"Partial")+COUNTIF($F$3:$F52,"No"),"")</f>
        <v/>
      </c>
      <c r="Q52" s="56" t="str">
        <f t="shared" si="7"/>
        <v/>
      </c>
    </row>
    <row r="53" spans="1:17" ht="81.75" customHeight="1">
      <c r="A53" s="48">
        <v>7</v>
      </c>
      <c r="B53" s="48" t="s">
        <v>238</v>
      </c>
      <c r="C53" s="48" t="s">
        <v>362</v>
      </c>
      <c r="D53" s="48" t="s">
        <v>134</v>
      </c>
      <c r="E53" s="64" t="s">
        <v>641</v>
      </c>
      <c r="F53" s="49"/>
      <c r="G53" s="49"/>
      <c r="H53" s="49"/>
      <c r="I53" s="50"/>
      <c r="J53" s="42" t="str">
        <f t="shared" si="8"/>
        <v/>
      </c>
      <c r="K53" s="42">
        <f t="shared" si="9"/>
        <v>0</v>
      </c>
      <c r="L53" s="42" t="str">
        <f t="shared" si="10"/>
        <v/>
      </c>
      <c r="M53" s="42">
        <f t="shared" si="6"/>
        <v>30</v>
      </c>
      <c r="N53" s="43" t="str">
        <f>IF(OR($F53="Partial",$F53="No"),IF(Facility_Profile!$B$7="","",Facility_Profile!$B$7+$M53),"")</f>
        <v/>
      </c>
      <c r="O53" s="42" t="str">
        <f t="shared" si="11"/>
        <v>Missing response</v>
      </c>
      <c r="P53" s="42" t="str">
        <f>IF(OR($F53="Partial",$F53="No"),COUNTIF($F$3:$F53,"Partial")+COUNTIF($F$3:$F53,"No"),"")</f>
        <v/>
      </c>
      <c r="Q53" s="56" t="str">
        <f t="shared" si="7"/>
        <v/>
      </c>
    </row>
    <row r="54" spans="1:17" ht="81" customHeight="1">
      <c r="A54" s="52">
        <v>7</v>
      </c>
      <c r="B54" s="52" t="s">
        <v>238</v>
      </c>
      <c r="C54" s="52" t="s">
        <v>363</v>
      </c>
      <c r="D54" s="52" t="s">
        <v>134</v>
      </c>
      <c r="E54" s="65" t="s">
        <v>642</v>
      </c>
      <c r="F54" s="49"/>
      <c r="G54" s="49"/>
      <c r="H54" s="49"/>
      <c r="I54" s="50"/>
      <c r="J54" s="42" t="str">
        <f t="shared" si="8"/>
        <v/>
      </c>
      <c r="K54" s="42">
        <f t="shared" si="9"/>
        <v>0</v>
      </c>
      <c r="L54" s="42" t="str">
        <f t="shared" si="10"/>
        <v/>
      </c>
      <c r="M54" s="42">
        <f t="shared" si="6"/>
        <v>30</v>
      </c>
      <c r="N54" s="43" t="str">
        <f>IF(OR($F54="Partial",$F54="No"),IF(Facility_Profile!$B$7="","",Facility_Profile!$B$7+$M54),"")</f>
        <v/>
      </c>
      <c r="O54" s="42" t="str">
        <f t="shared" si="11"/>
        <v>Missing response</v>
      </c>
      <c r="P54" s="42" t="str">
        <f>IF(OR($F54="Partial",$F54="No"),COUNTIF($F$3:$F54,"Partial")+COUNTIF($F$3:$F54,"No"),"")</f>
        <v/>
      </c>
      <c r="Q54" s="56" t="str">
        <f t="shared" si="7"/>
        <v/>
      </c>
    </row>
    <row r="55" spans="1:17" ht="57.95" customHeight="1">
      <c r="A55" s="39">
        <v>7</v>
      </c>
      <c r="B55" s="39" t="s">
        <v>238</v>
      </c>
      <c r="C55" s="44" t="s">
        <v>364</v>
      </c>
      <c r="D55" s="44" t="s">
        <v>134</v>
      </c>
      <c r="E55" s="63" t="s">
        <v>365</v>
      </c>
      <c r="F55" s="45" t="str">
        <f>IF(COUNTIF($F$56:$F$61,"Yes")+COUNTIF($F$56:$F$61,"Partial")+COUNTIF($F$56:$F$61,"No")+COUNTIF($F$56:$F$61,"N/A")&lt;6,"Incomplete - complete 6 OI lines",IF($K55=0,"All six marked N/A",$J55&amp;"/"&amp;$K55&amp;" ready"))</f>
        <v>Incomplete - complete 6 OI lines</v>
      </c>
      <c r="G55" s="46" t="s">
        <v>357</v>
      </c>
      <c r="H55" s="40"/>
      <c r="I55" s="41"/>
      <c r="J55" s="42">
        <f>SUM($J$56:$J$61)</f>
        <v>0</v>
      </c>
      <c r="K55" s="42">
        <f>SUM($K$56:$K$61)</f>
        <v>0</v>
      </c>
      <c r="L55" s="42" t="str">
        <f>IF(COUNTIF($F$56:$F$61,"Partial")+COUNTIF($F$56:$F$61,"No")&gt;0,"See sub-item gap(s)","")</f>
        <v/>
      </c>
      <c r="M55" s="42">
        <f t="shared" si="6"/>
        <v>30</v>
      </c>
      <c r="N55" s="43" t="str">
        <f>IF(COUNT($N$56:$N$61)=0,"",MIN($N$56:$N$61))</f>
        <v/>
      </c>
      <c r="O55" s="47" t="str">
        <f>"Parent summary - not scored separately"</f>
        <v>Parent summary - not scored separately</v>
      </c>
      <c r="P55" s="42" t="str">
        <f>""</f>
        <v/>
      </c>
      <c r="Q55" s="56" t="str">
        <f t="shared" si="7"/>
        <v/>
      </c>
    </row>
    <row r="56" spans="1:17" ht="49.5" customHeight="1">
      <c r="A56" s="48">
        <v>7</v>
      </c>
      <c r="B56" s="48" t="s">
        <v>238</v>
      </c>
      <c r="C56" s="48" t="s">
        <v>366</v>
      </c>
      <c r="D56" s="48" t="s">
        <v>134</v>
      </c>
      <c r="E56" s="64" t="s">
        <v>643</v>
      </c>
      <c r="F56" s="49"/>
      <c r="G56" s="49"/>
      <c r="H56" s="49"/>
      <c r="I56" s="50"/>
      <c r="J56" s="42" t="str">
        <f t="shared" ref="J56:J61" si="12">IF($F56="Yes",1,IF(OR($F56="Partial",$F56="No"),0,""))</f>
        <v/>
      </c>
      <c r="K56" s="42">
        <f t="shared" ref="K56:K61" si="13">IF(OR($F56="Yes",$F56="Partial",$F56="No"),1,0)</f>
        <v>0</v>
      </c>
      <c r="L56" s="42" t="str">
        <f t="shared" ref="L56:L61" si="14">IF(AND($D56="P1",OR($F56="Partial",$F56="No")),"P1 gap",IF(OR($F56="Partial",$F56="No"),"Gap",""))</f>
        <v/>
      </c>
      <c r="M56" s="42">
        <f t="shared" si="6"/>
        <v>30</v>
      </c>
      <c r="N56" s="43" t="str">
        <f>IF(OR($F56="Partial",$F56="No"),IF(Facility_Profile!$B$7="","",Facility_Profile!$B$7+$M56),"")</f>
        <v/>
      </c>
      <c r="O56" s="42" t="str">
        <f t="shared" ref="O56:O61" si="15">IF($F56="","Missing response",IF(OR($F56="Yes",$F56="Partial",$F56="No",$F56="N/A"),"OK","Check response"))</f>
        <v>Missing response</v>
      </c>
      <c r="P56" s="42" t="str">
        <f>IF(OR($F56="Partial",$F56="No"),COUNTIF($F$3:$F56,"Partial")+COUNTIF($F$3:$F56,"No"),"")</f>
        <v/>
      </c>
      <c r="Q56" s="56" t="str">
        <f t="shared" si="7"/>
        <v/>
      </c>
    </row>
    <row r="57" spans="1:17" ht="48" customHeight="1">
      <c r="A57" s="52">
        <v>7</v>
      </c>
      <c r="B57" s="52" t="s">
        <v>238</v>
      </c>
      <c r="C57" s="52" t="s">
        <v>367</v>
      </c>
      <c r="D57" s="52" t="s">
        <v>134</v>
      </c>
      <c r="E57" s="65" t="s">
        <v>644</v>
      </c>
      <c r="F57" s="49"/>
      <c r="G57" s="49"/>
      <c r="H57" s="49"/>
      <c r="I57" s="50"/>
      <c r="J57" s="42" t="str">
        <f t="shared" si="12"/>
        <v/>
      </c>
      <c r="K57" s="42">
        <f t="shared" si="13"/>
        <v>0</v>
      </c>
      <c r="L57" s="42" t="str">
        <f t="shared" si="14"/>
        <v/>
      </c>
      <c r="M57" s="42">
        <f t="shared" si="6"/>
        <v>30</v>
      </c>
      <c r="N57" s="43" t="str">
        <f>IF(OR($F57="Partial",$F57="No"),IF(Facility_Profile!$B$7="","",Facility_Profile!$B$7+$M57),"")</f>
        <v/>
      </c>
      <c r="O57" s="42" t="str">
        <f t="shared" si="15"/>
        <v>Missing response</v>
      </c>
      <c r="P57" s="42" t="str">
        <f>IF(OR($F57="Partial",$F57="No"),COUNTIF($F$3:$F57,"Partial")+COUNTIF($F$3:$F57,"No"),"")</f>
        <v/>
      </c>
      <c r="Q57" s="56" t="str">
        <f t="shared" si="7"/>
        <v/>
      </c>
    </row>
    <row r="58" spans="1:17" ht="54.75" customHeight="1">
      <c r="A58" s="48">
        <v>7</v>
      </c>
      <c r="B58" s="48" t="s">
        <v>238</v>
      </c>
      <c r="C58" s="48" t="s">
        <v>368</v>
      </c>
      <c r="D58" s="48" t="s">
        <v>134</v>
      </c>
      <c r="E58" s="64" t="s">
        <v>645</v>
      </c>
      <c r="F58" s="49"/>
      <c r="G58" s="49"/>
      <c r="H58" s="49"/>
      <c r="I58" s="50"/>
      <c r="J58" s="42" t="str">
        <f t="shared" si="12"/>
        <v/>
      </c>
      <c r="K58" s="42">
        <f t="shared" si="13"/>
        <v>0</v>
      </c>
      <c r="L58" s="42" t="str">
        <f t="shared" si="14"/>
        <v/>
      </c>
      <c r="M58" s="42">
        <f t="shared" si="6"/>
        <v>30</v>
      </c>
      <c r="N58" s="43" t="str">
        <f>IF(OR($F58="Partial",$F58="No"),IF(Facility_Profile!$B$7="","",Facility_Profile!$B$7+$M58),"")</f>
        <v/>
      </c>
      <c r="O58" s="42" t="str">
        <f t="shared" si="15"/>
        <v>Missing response</v>
      </c>
      <c r="P58" s="42" t="str">
        <f>IF(OR($F58="Partial",$F58="No"),COUNTIF($F$3:$F58,"Partial")+COUNTIF($F$3:$F58,"No"),"")</f>
        <v/>
      </c>
      <c r="Q58" s="56" t="str">
        <f t="shared" si="7"/>
        <v/>
      </c>
    </row>
    <row r="59" spans="1:17" ht="49.5" customHeight="1">
      <c r="A59" s="52">
        <v>7</v>
      </c>
      <c r="B59" s="52" t="s">
        <v>238</v>
      </c>
      <c r="C59" s="52" t="s">
        <v>369</v>
      </c>
      <c r="D59" s="52" t="s">
        <v>134</v>
      </c>
      <c r="E59" s="65" t="s">
        <v>646</v>
      </c>
      <c r="F59" s="49"/>
      <c r="G59" s="49"/>
      <c r="H59" s="49"/>
      <c r="I59" s="50"/>
      <c r="J59" s="42" t="str">
        <f t="shared" si="12"/>
        <v/>
      </c>
      <c r="K59" s="42">
        <f t="shared" si="13"/>
        <v>0</v>
      </c>
      <c r="L59" s="42" t="str">
        <f t="shared" si="14"/>
        <v/>
      </c>
      <c r="M59" s="42">
        <f t="shared" si="6"/>
        <v>30</v>
      </c>
      <c r="N59" s="43" t="str">
        <f>IF(OR($F59="Partial",$F59="No"),IF(Facility_Profile!$B$7="","",Facility_Profile!$B$7+$M59),"")</f>
        <v/>
      </c>
      <c r="O59" s="42" t="str">
        <f t="shared" si="15"/>
        <v>Missing response</v>
      </c>
      <c r="P59" s="42" t="str">
        <f>IF(OR($F59="Partial",$F59="No"),COUNTIF($F$3:$F59,"Partial")+COUNTIF($F$3:$F59,"No"),"")</f>
        <v/>
      </c>
      <c r="Q59" s="56" t="str">
        <f t="shared" si="7"/>
        <v/>
      </c>
    </row>
    <row r="60" spans="1:17" ht="51" customHeight="1">
      <c r="A60" s="48">
        <v>7</v>
      </c>
      <c r="B60" s="48" t="s">
        <v>238</v>
      </c>
      <c r="C60" s="48" t="s">
        <v>370</v>
      </c>
      <c r="D60" s="48" t="s">
        <v>134</v>
      </c>
      <c r="E60" s="64" t="s">
        <v>647</v>
      </c>
      <c r="F60" s="49"/>
      <c r="G60" s="49"/>
      <c r="H60" s="49"/>
      <c r="I60" s="50"/>
      <c r="J60" s="42" t="str">
        <f t="shared" si="12"/>
        <v/>
      </c>
      <c r="K60" s="42">
        <f t="shared" si="13"/>
        <v>0</v>
      </c>
      <c r="L60" s="42" t="str">
        <f t="shared" si="14"/>
        <v/>
      </c>
      <c r="M60" s="42">
        <f t="shared" si="6"/>
        <v>30</v>
      </c>
      <c r="N60" s="43" t="str">
        <f>IF(OR($F60="Partial",$F60="No"),IF(Facility_Profile!$B$7="","",Facility_Profile!$B$7+$M60),"")</f>
        <v/>
      </c>
      <c r="O60" s="42" t="str">
        <f t="shared" si="15"/>
        <v>Missing response</v>
      </c>
      <c r="P60" s="42" t="str">
        <f>IF(OR($F60="Partial",$F60="No"),COUNTIF($F$3:$F60,"Partial")+COUNTIF($F$3:$F60,"No"),"")</f>
        <v/>
      </c>
      <c r="Q60" s="56" t="str">
        <f t="shared" si="7"/>
        <v/>
      </c>
    </row>
    <row r="61" spans="1:17" ht="51" customHeight="1">
      <c r="A61" s="52">
        <v>7</v>
      </c>
      <c r="B61" s="52" t="s">
        <v>238</v>
      </c>
      <c r="C61" s="52" t="s">
        <v>371</v>
      </c>
      <c r="D61" s="52" t="s">
        <v>134</v>
      </c>
      <c r="E61" s="65" t="s">
        <v>648</v>
      </c>
      <c r="F61" s="49"/>
      <c r="G61" s="49"/>
      <c r="H61" s="49"/>
      <c r="I61" s="50"/>
      <c r="J61" s="42" t="str">
        <f t="shared" si="12"/>
        <v/>
      </c>
      <c r="K61" s="42">
        <f t="shared" si="13"/>
        <v>0</v>
      </c>
      <c r="L61" s="42" t="str">
        <f t="shared" si="14"/>
        <v/>
      </c>
      <c r="M61" s="42">
        <f t="shared" si="6"/>
        <v>30</v>
      </c>
      <c r="N61" s="43" t="str">
        <f>IF(OR($F61="Partial",$F61="No"),IF(Facility_Profile!$B$7="","",Facility_Profile!$B$7+$M61),"")</f>
        <v/>
      </c>
      <c r="O61" s="42" t="str">
        <f t="shared" si="15"/>
        <v>Missing response</v>
      </c>
      <c r="P61" s="42" t="str">
        <f>IF(OR($F61="Partial",$F61="No"),COUNTIF($F$3:$F61,"Partial")+COUNTIF($F$3:$F61,"No"),"")</f>
        <v/>
      </c>
      <c r="Q61" s="56" t="str">
        <f t="shared" si="7"/>
        <v/>
      </c>
    </row>
    <row r="62" spans="1:17" ht="57.95" customHeight="1">
      <c r="A62" s="39">
        <v>7</v>
      </c>
      <c r="B62" s="39" t="s">
        <v>238</v>
      </c>
      <c r="C62" s="44" t="s">
        <v>372</v>
      </c>
      <c r="D62" s="44" t="s">
        <v>134</v>
      </c>
      <c r="E62" s="63" t="s">
        <v>373</v>
      </c>
      <c r="F62" s="45" t="str">
        <f>IF(COUNTIF($F$63:$F$68,"Yes")+COUNTIF($F$63:$F$68,"Partial")+COUNTIF($F$63:$F$68,"No")+COUNTIF($F$63:$F$68,"N/A")&lt;6,"Incomplete - complete 6 OI lines",IF($K62=0,"All six marked N/A",$J62&amp;"/"&amp;$K62&amp;" ready"))</f>
        <v>Incomplete - complete 6 OI lines</v>
      </c>
      <c r="G62" s="46" t="s">
        <v>357</v>
      </c>
      <c r="H62" s="40"/>
      <c r="I62" s="41"/>
      <c r="J62" s="42">
        <f>SUM($J$63:$J$68)</f>
        <v>0</v>
      </c>
      <c r="K62" s="42">
        <f>SUM($K$63:$K$68)</f>
        <v>0</v>
      </c>
      <c r="L62" s="42" t="str">
        <f>IF(COUNTIF($F$63:$F$68,"Partial")+COUNTIF($F$63:$F$68,"No")&gt;0,"See sub-item gap(s)","")</f>
        <v/>
      </c>
      <c r="M62" s="42">
        <f t="shared" si="6"/>
        <v>30</v>
      </c>
      <c r="N62" s="43" t="str">
        <f>IF(COUNT($N$63:$N$68)=0,"",MIN($N$63:$N$68))</f>
        <v/>
      </c>
      <c r="O62" s="47" t="str">
        <f>"Parent summary - not scored separately"</f>
        <v>Parent summary - not scored separately</v>
      </c>
      <c r="P62" s="42" t="str">
        <f>""</f>
        <v/>
      </c>
      <c r="Q62" s="56" t="str">
        <f t="shared" si="7"/>
        <v/>
      </c>
    </row>
    <row r="63" spans="1:17" ht="45" customHeight="1">
      <c r="A63" s="48">
        <v>7</v>
      </c>
      <c r="B63" s="48" t="s">
        <v>238</v>
      </c>
      <c r="C63" s="48" t="s">
        <v>374</v>
      </c>
      <c r="D63" s="48" t="s">
        <v>134</v>
      </c>
      <c r="E63" s="64" t="s">
        <v>649</v>
      </c>
      <c r="F63" s="49"/>
      <c r="G63" s="49"/>
      <c r="H63" s="49"/>
      <c r="I63" s="50"/>
      <c r="J63" s="42" t="str">
        <f t="shared" ref="J63:J68" si="16">IF($F63="Yes",1,IF(OR($F63="Partial",$F63="No"),0,""))</f>
        <v/>
      </c>
      <c r="K63" s="42">
        <f t="shared" ref="K63:K68" si="17">IF(OR($F63="Yes",$F63="Partial",$F63="No"),1,0)</f>
        <v>0</v>
      </c>
      <c r="L63" s="42" t="str">
        <f t="shared" ref="L63:L68" si="18">IF(AND($D63="P1",OR($F63="Partial",$F63="No")),"P1 gap",IF(OR($F63="Partial",$F63="No"),"Gap",""))</f>
        <v/>
      </c>
      <c r="M63" s="42">
        <f t="shared" si="6"/>
        <v>30</v>
      </c>
      <c r="N63" s="43" t="str">
        <f>IF(OR($F63="Partial",$F63="No"),IF(Facility_Profile!$B$7="","",Facility_Profile!$B$7+$M63),"")</f>
        <v/>
      </c>
      <c r="O63" s="42" t="str">
        <f t="shared" ref="O63:O68" si="19">IF($F63="","Missing response",IF(OR($F63="Yes",$F63="Partial",$F63="No",$F63="N/A"),"OK","Check response"))</f>
        <v>Missing response</v>
      </c>
      <c r="P63" s="42" t="str">
        <f>IF(OR($F63="Partial",$F63="No"),COUNTIF($F$3:$F63,"Partial")+COUNTIF($F$3:$F63,"No"),"")</f>
        <v/>
      </c>
      <c r="Q63" s="56" t="str">
        <f t="shared" si="7"/>
        <v/>
      </c>
    </row>
    <row r="64" spans="1:17" ht="62.25" customHeight="1">
      <c r="A64" s="52">
        <v>7</v>
      </c>
      <c r="B64" s="52" t="s">
        <v>238</v>
      </c>
      <c r="C64" s="52" t="s">
        <v>375</v>
      </c>
      <c r="D64" s="52" t="s">
        <v>134</v>
      </c>
      <c r="E64" s="65" t="s">
        <v>650</v>
      </c>
      <c r="F64" s="49"/>
      <c r="G64" s="49"/>
      <c r="H64" s="49"/>
      <c r="I64" s="50"/>
      <c r="J64" s="42" t="str">
        <f t="shared" si="16"/>
        <v/>
      </c>
      <c r="K64" s="42">
        <f t="shared" si="17"/>
        <v>0</v>
      </c>
      <c r="L64" s="42" t="str">
        <f t="shared" si="18"/>
        <v/>
      </c>
      <c r="M64" s="42">
        <f t="shared" si="6"/>
        <v>30</v>
      </c>
      <c r="N64" s="43" t="str">
        <f>IF(OR($F64="Partial",$F64="No"),IF(Facility_Profile!$B$7="","",Facility_Profile!$B$7+$M64),"")</f>
        <v/>
      </c>
      <c r="O64" s="42" t="str">
        <f t="shared" si="19"/>
        <v>Missing response</v>
      </c>
      <c r="P64" s="42" t="str">
        <f>IF(OR($F64="Partial",$F64="No"),COUNTIF($F$3:$F64,"Partial")+COUNTIF($F$3:$F64,"No"),"")</f>
        <v/>
      </c>
      <c r="Q64" s="56" t="str">
        <f t="shared" si="7"/>
        <v/>
      </c>
    </row>
    <row r="65" spans="1:17" ht="64.5" customHeight="1">
      <c r="A65" s="48">
        <v>7</v>
      </c>
      <c r="B65" s="48" t="s">
        <v>238</v>
      </c>
      <c r="C65" s="48" t="s">
        <v>376</v>
      </c>
      <c r="D65" s="48" t="s">
        <v>134</v>
      </c>
      <c r="E65" s="64" t="s">
        <v>651</v>
      </c>
      <c r="F65" s="49"/>
      <c r="G65" s="49"/>
      <c r="H65" s="49"/>
      <c r="I65" s="50"/>
      <c r="J65" s="42" t="str">
        <f t="shared" si="16"/>
        <v/>
      </c>
      <c r="K65" s="42">
        <f t="shared" si="17"/>
        <v>0</v>
      </c>
      <c r="L65" s="42" t="str">
        <f t="shared" si="18"/>
        <v/>
      </c>
      <c r="M65" s="42">
        <f t="shared" si="6"/>
        <v>30</v>
      </c>
      <c r="N65" s="43" t="str">
        <f>IF(OR($F65="Partial",$F65="No"),IF(Facility_Profile!$B$7="","",Facility_Profile!$B$7+$M65),"")</f>
        <v/>
      </c>
      <c r="O65" s="42" t="str">
        <f t="shared" si="19"/>
        <v>Missing response</v>
      </c>
      <c r="P65" s="42" t="str">
        <f>IF(OR($F65="Partial",$F65="No"),COUNTIF($F$3:$F65,"Partial")+COUNTIF($F$3:$F65,"No"),"")</f>
        <v/>
      </c>
      <c r="Q65" s="56" t="str">
        <f t="shared" si="7"/>
        <v/>
      </c>
    </row>
    <row r="66" spans="1:17" ht="46.5" customHeight="1">
      <c r="A66" s="52">
        <v>7</v>
      </c>
      <c r="B66" s="52" t="s">
        <v>238</v>
      </c>
      <c r="C66" s="52" t="s">
        <v>377</v>
      </c>
      <c r="D66" s="52" t="s">
        <v>134</v>
      </c>
      <c r="E66" s="65" t="s">
        <v>652</v>
      </c>
      <c r="F66" s="49"/>
      <c r="G66" s="49"/>
      <c r="H66" s="49"/>
      <c r="I66" s="50"/>
      <c r="J66" s="42" t="str">
        <f t="shared" si="16"/>
        <v/>
      </c>
      <c r="K66" s="42">
        <f t="shared" si="17"/>
        <v>0</v>
      </c>
      <c r="L66" s="42" t="str">
        <f t="shared" si="18"/>
        <v/>
      </c>
      <c r="M66" s="42">
        <f t="shared" si="6"/>
        <v>30</v>
      </c>
      <c r="N66" s="43" t="str">
        <f>IF(OR($F66="Partial",$F66="No"),IF(Facility_Profile!$B$7="","",Facility_Profile!$B$7+$M66),"")</f>
        <v/>
      </c>
      <c r="O66" s="42" t="str">
        <f t="shared" si="19"/>
        <v>Missing response</v>
      </c>
      <c r="P66" s="42" t="str">
        <f>IF(OR($F66="Partial",$F66="No"),COUNTIF($F$3:$F66,"Partial")+COUNTIF($F$3:$F66,"No"),"")</f>
        <v/>
      </c>
      <c r="Q66" s="56" t="str">
        <f t="shared" si="7"/>
        <v/>
      </c>
    </row>
    <row r="67" spans="1:17" ht="65.25" customHeight="1">
      <c r="A67" s="48">
        <v>7</v>
      </c>
      <c r="B67" s="48" t="s">
        <v>238</v>
      </c>
      <c r="C67" s="48" t="s">
        <v>378</v>
      </c>
      <c r="D67" s="48" t="s">
        <v>134</v>
      </c>
      <c r="E67" s="64" t="s">
        <v>653</v>
      </c>
      <c r="F67" s="49"/>
      <c r="G67" s="49"/>
      <c r="H67" s="49"/>
      <c r="I67" s="50"/>
      <c r="J67" s="42" t="str">
        <f t="shared" si="16"/>
        <v/>
      </c>
      <c r="K67" s="42">
        <f t="shared" si="17"/>
        <v>0</v>
      </c>
      <c r="L67" s="42" t="str">
        <f t="shared" si="18"/>
        <v/>
      </c>
      <c r="M67" s="42">
        <f t="shared" ref="M67:M98" si="20">IF($D67="P1",30,IF($D67="P2",90,IF($D67="P3",180,"")))</f>
        <v>30</v>
      </c>
      <c r="N67" s="43" t="str">
        <f>IF(OR($F67="Partial",$F67="No"),IF(Facility_Profile!$B$7="","",Facility_Profile!$B$7+$M67),"")</f>
        <v/>
      </c>
      <c r="O67" s="42" t="str">
        <f t="shared" si="19"/>
        <v>Missing response</v>
      </c>
      <c r="P67" s="42" t="str">
        <f>IF(OR($F67="Partial",$F67="No"),COUNTIF($F$3:$F67,"Partial")+COUNTIF($F$3:$F67,"No"),"")</f>
        <v/>
      </c>
      <c r="Q67" s="56" t="str">
        <f t="shared" ref="Q67:Q98" si="21">IFERROR($J67/$K67,"")</f>
        <v/>
      </c>
    </row>
    <row r="68" spans="1:17" ht="66.75" customHeight="1">
      <c r="A68" s="52">
        <v>7</v>
      </c>
      <c r="B68" s="52" t="s">
        <v>238</v>
      </c>
      <c r="C68" s="52" t="s">
        <v>379</v>
      </c>
      <c r="D68" s="52" t="s">
        <v>134</v>
      </c>
      <c r="E68" s="65" t="s">
        <v>654</v>
      </c>
      <c r="F68" s="49"/>
      <c r="G68" s="49"/>
      <c r="H68" s="49"/>
      <c r="I68" s="50"/>
      <c r="J68" s="42" t="str">
        <f t="shared" si="16"/>
        <v/>
      </c>
      <c r="K68" s="42">
        <f t="shared" si="17"/>
        <v>0</v>
      </c>
      <c r="L68" s="42" t="str">
        <f t="shared" si="18"/>
        <v/>
      </c>
      <c r="M68" s="42">
        <f t="shared" si="20"/>
        <v>30</v>
      </c>
      <c r="N68" s="43" t="str">
        <f>IF(OR($F68="Partial",$F68="No"),IF(Facility_Profile!$B$7="","",Facility_Profile!$B$7+$M68),"")</f>
        <v/>
      </c>
      <c r="O68" s="42" t="str">
        <f t="shared" si="19"/>
        <v>Missing response</v>
      </c>
      <c r="P68" s="42" t="str">
        <f>IF(OR($F68="Partial",$F68="No"),COUNTIF($F$3:$F68,"Partial")+COUNTIF($F$3:$F68,"No"),"")</f>
        <v/>
      </c>
      <c r="Q68" s="56" t="str">
        <f t="shared" si="21"/>
        <v/>
      </c>
    </row>
    <row r="69" spans="1:17" ht="57.95" customHeight="1">
      <c r="A69" s="39">
        <v>7</v>
      </c>
      <c r="B69" s="39" t="s">
        <v>238</v>
      </c>
      <c r="C69" s="44" t="s">
        <v>380</v>
      </c>
      <c r="D69" s="44" t="s">
        <v>134</v>
      </c>
      <c r="E69" s="63" t="s">
        <v>381</v>
      </c>
      <c r="F69" s="45" t="str">
        <f>IF(COUNTIF($F$70:$F$75,"Yes")+COUNTIF($F$70:$F$75,"Partial")+COUNTIF($F$70:$F$75,"No")+COUNTIF($F$70:$F$75,"N/A")&lt;6,"Incomplete - complete 6 OI lines",IF($K69=0,"All six marked N/A",$J69&amp;"/"&amp;$K69&amp;" ready"))</f>
        <v>Incomplete - complete 6 OI lines</v>
      </c>
      <c r="G69" s="46" t="s">
        <v>357</v>
      </c>
      <c r="H69" s="40"/>
      <c r="I69" s="41"/>
      <c r="J69" s="42">
        <f>SUM($J$70:$J$75)</f>
        <v>0</v>
      </c>
      <c r="K69" s="42">
        <f>SUM($K$70:$K$75)</f>
        <v>0</v>
      </c>
      <c r="L69" s="42" t="str">
        <f>IF(COUNTIF($F$70:$F$75,"Partial")+COUNTIF($F$70:$F$75,"No")&gt;0,"See sub-item gap(s)","")</f>
        <v/>
      </c>
      <c r="M69" s="42">
        <f t="shared" si="20"/>
        <v>30</v>
      </c>
      <c r="N69" s="43" t="str">
        <f>IF(COUNT($N$70:$N$75)=0,"",MIN($N$70:$N$75))</f>
        <v/>
      </c>
      <c r="O69" s="47" t="str">
        <f>"Parent summary - not scored separately"</f>
        <v>Parent summary - not scored separately</v>
      </c>
      <c r="P69" s="42" t="str">
        <f>""</f>
        <v/>
      </c>
      <c r="Q69" s="56" t="str">
        <f t="shared" si="21"/>
        <v/>
      </c>
    </row>
    <row r="70" spans="1:17" ht="42.75" customHeight="1">
      <c r="A70" s="48">
        <v>7</v>
      </c>
      <c r="B70" s="48" t="s">
        <v>238</v>
      </c>
      <c r="C70" s="48" t="s">
        <v>382</v>
      </c>
      <c r="D70" s="48" t="s">
        <v>134</v>
      </c>
      <c r="E70" s="64" t="s">
        <v>655</v>
      </c>
      <c r="F70" s="49"/>
      <c r="G70" s="49"/>
      <c r="H70" s="49"/>
      <c r="I70" s="50"/>
      <c r="J70" s="42" t="str">
        <f t="shared" ref="J70:J75" si="22">IF($F70="Yes",1,IF(OR($F70="Partial",$F70="No"),0,""))</f>
        <v/>
      </c>
      <c r="K70" s="42">
        <f t="shared" ref="K70:K75" si="23">IF(OR($F70="Yes",$F70="Partial",$F70="No"),1,0)</f>
        <v>0</v>
      </c>
      <c r="L70" s="42" t="str">
        <f t="shared" ref="L70:L75" si="24">IF(AND($D70="P1",OR($F70="Partial",$F70="No")),"P1 gap",IF(OR($F70="Partial",$F70="No"),"Gap",""))</f>
        <v/>
      </c>
      <c r="M70" s="42">
        <f t="shared" si="20"/>
        <v>30</v>
      </c>
      <c r="N70" s="43" t="str">
        <f>IF(OR($F70="Partial",$F70="No"),IF(Facility_Profile!$B$7="","",Facility_Profile!$B$7+$M70),"")</f>
        <v/>
      </c>
      <c r="O70" s="42" t="str">
        <f t="shared" ref="O70:O75" si="25">IF($F70="","Missing response",IF(OR($F70="Yes",$F70="Partial",$F70="No",$F70="N/A"),"OK","Check response"))</f>
        <v>Missing response</v>
      </c>
      <c r="P70" s="42" t="str">
        <f>IF(OR($F70="Partial",$F70="No"),COUNTIF($F$3:$F70,"Partial")+COUNTIF($F$3:$F70,"No"),"")</f>
        <v/>
      </c>
      <c r="Q70" s="56" t="str">
        <f t="shared" si="21"/>
        <v/>
      </c>
    </row>
    <row r="71" spans="1:17" ht="53.25" customHeight="1">
      <c r="A71" s="52">
        <v>7</v>
      </c>
      <c r="B71" s="52" t="s">
        <v>238</v>
      </c>
      <c r="C71" s="52" t="s">
        <v>383</v>
      </c>
      <c r="D71" s="52" t="s">
        <v>134</v>
      </c>
      <c r="E71" s="65" t="s">
        <v>656</v>
      </c>
      <c r="F71" s="49"/>
      <c r="G71" s="49"/>
      <c r="H71" s="49"/>
      <c r="I71" s="50"/>
      <c r="J71" s="42" t="str">
        <f t="shared" si="22"/>
        <v/>
      </c>
      <c r="K71" s="42">
        <f t="shared" si="23"/>
        <v>0</v>
      </c>
      <c r="L71" s="42" t="str">
        <f t="shared" si="24"/>
        <v/>
      </c>
      <c r="M71" s="42">
        <f t="shared" si="20"/>
        <v>30</v>
      </c>
      <c r="N71" s="43" t="str">
        <f>IF(OR($F71="Partial",$F71="No"),IF(Facility_Profile!$B$7="","",Facility_Profile!$B$7+$M71),"")</f>
        <v/>
      </c>
      <c r="O71" s="42" t="str">
        <f t="shared" si="25"/>
        <v>Missing response</v>
      </c>
      <c r="P71" s="42" t="str">
        <f>IF(OR($F71="Partial",$F71="No"),COUNTIF($F$3:$F71,"Partial")+COUNTIF($F$3:$F71,"No"),"")</f>
        <v/>
      </c>
      <c r="Q71" s="56" t="str">
        <f t="shared" si="21"/>
        <v/>
      </c>
    </row>
    <row r="72" spans="1:17" ht="56.25" customHeight="1">
      <c r="A72" s="48">
        <v>7</v>
      </c>
      <c r="B72" s="48" t="s">
        <v>238</v>
      </c>
      <c r="C72" s="48" t="s">
        <v>384</v>
      </c>
      <c r="D72" s="48" t="s">
        <v>134</v>
      </c>
      <c r="E72" s="64" t="s">
        <v>657</v>
      </c>
      <c r="F72" s="49"/>
      <c r="G72" s="49"/>
      <c r="H72" s="49"/>
      <c r="I72" s="50"/>
      <c r="J72" s="42" t="str">
        <f t="shared" si="22"/>
        <v/>
      </c>
      <c r="K72" s="42">
        <f t="shared" si="23"/>
        <v>0</v>
      </c>
      <c r="L72" s="42" t="str">
        <f t="shared" si="24"/>
        <v/>
      </c>
      <c r="M72" s="42">
        <f t="shared" si="20"/>
        <v>30</v>
      </c>
      <c r="N72" s="43" t="str">
        <f>IF(OR($F72="Partial",$F72="No"),IF(Facility_Profile!$B$7="","",Facility_Profile!$B$7+$M72),"")</f>
        <v/>
      </c>
      <c r="O72" s="42" t="str">
        <f t="shared" si="25"/>
        <v>Missing response</v>
      </c>
      <c r="P72" s="42" t="str">
        <f>IF(OR($F72="Partial",$F72="No"),COUNTIF($F$3:$F72,"Partial")+COUNTIF($F$3:$F72,"No"),"")</f>
        <v/>
      </c>
      <c r="Q72" s="56" t="str">
        <f t="shared" si="21"/>
        <v/>
      </c>
    </row>
    <row r="73" spans="1:17" ht="134.1" customHeight="1">
      <c r="A73" s="52">
        <v>7</v>
      </c>
      <c r="B73" s="52" t="s">
        <v>238</v>
      </c>
      <c r="C73" s="52" t="s">
        <v>385</v>
      </c>
      <c r="D73" s="52" t="s">
        <v>134</v>
      </c>
      <c r="E73" s="65" t="s">
        <v>658</v>
      </c>
      <c r="F73" s="49"/>
      <c r="G73" s="49"/>
      <c r="H73" s="49"/>
      <c r="I73" s="50"/>
      <c r="J73" s="42" t="str">
        <f t="shared" si="22"/>
        <v/>
      </c>
      <c r="K73" s="42">
        <f t="shared" si="23"/>
        <v>0</v>
      </c>
      <c r="L73" s="42" t="str">
        <f t="shared" si="24"/>
        <v/>
      </c>
      <c r="M73" s="42">
        <f t="shared" si="20"/>
        <v>30</v>
      </c>
      <c r="N73" s="43" t="str">
        <f>IF(OR($F73="Partial",$F73="No"),IF(Facility_Profile!$B$7="","",Facility_Profile!$B$7+$M73),"")</f>
        <v/>
      </c>
      <c r="O73" s="42" t="str">
        <f t="shared" si="25"/>
        <v>Missing response</v>
      </c>
      <c r="P73" s="42" t="str">
        <f>IF(OR($F73="Partial",$F73="No"),COUNTIF($F$3:$F73,"Partial")+COUNTIF($F$3:$F73,"No"),"")</f>
        <v/>
      </c>
      <c r="Q73" s="56" t="str">
        <f t="shared" si="21"/>
        <v/>
      </c>
    </row>
    <row r="74" spans="1:17" ht="57" customHeight="1">
      <c r="A74" s="48">
        <v>7</v>
      </c>
      <c r="B74" s="48" t="s">
        <v>238</v>
      </c>
      <c r="C74" s="48" t="s">
        <v>386</v>
      </c>
      <c r="D74" s="48" t="s">
        <v>134</v>
      </c>
      <c r="E74" s="64" t="s">
        <v>659</v>
      </c>
      <c r="F74" s="49"/>
      <c r="G74" s="49"/>
      <c r="H74" s="49"/>
      <c r="I74" s="50"/>
      <c r="J74" s="42" t="str">
        <f t="shared" si="22"/>
        <v/>
      </c>
      <c r="K74" s="42">
        <f t="shared" si="23"/>
        <v>0</v>
      </c>
      <c r="L74" s="42" t="str">
        <f t="shared" si="24"/>
        <v/>
      </c>
      <c r="M74" s="42">
        <f t="shared" si="20"/>
        <v>30</v>
      </c>
      <c r="N74" s="43" t="str">
        <f>IF(OR($F74="Partial",$F74="No"),IF(Facility_Profile!$B$7="","",Facility_Profile!$B$7+$M74),"")</f>
        <v/>
      </c>
      <c r="O74" s="42" t="str">
        <f t="shared" si="25"/>
        <v>Missing response</v>
      </c>
      <c r="P74" s="42" t="str">
        <f>IF(OR($F74="Partial",$F74="No"),COUNTIF($F$3:$F74,"Partial")+COUNTIF($F$3:$F74,"No"),"")</f>
        <v/>
      </c>
      <c r="Q74" s="56" t="str">
        <f t="shared" si="21"/>
        <v/>
      </c>
    </row>
    <row r="75" spans="1:17" ht="48.75" customHeight="1">
      <c r="A75" s="52">
        <v>7</v>
      </c>
      <c r="B75" s="52" t="s">
        <v>238</v>
      </c>
      <c r="C75" s="52" t="s">
        <v>387</v>
      </c>
      <c r="D75" s="52" t="s">
        <v>134</v>
      </c>
      <c r="E75" s="65" t="s">
        <v>660</v>
      </c>
      <c r="F75" s="49"/>
      <c r="G75" s="49"/>
      <c r="H75" s="49"/>
      <c r="I75" s="50"/>
      <c r="J75" s="42" t="str">
        <f t="shared" si="22"/>
        <v/>
      </c>
      <c r="K75" s="42">
        <f t="shared" si="23"/>
        <v>0</v>
      </c>
      <c r="L75" s="42" t="str">
        <f t="shared" si="24"/>
        <v/>
      </c>
      <c r="M75" s="42">
        <f t="shared" si="20"/>
        <v>30</v>
      </c>
      <c r="N75" s="43" t="str">
        <f>IF(OR($F75="Partial",$F75="No"),IF(Facility_Profile!$B$7="","",Facility_Profile!$B$7+$M75),"")</f>
        <v/>
      </c>
      <c r="O75" s="42" t="str">
        <f t="shared" si="25"/>
        <v>Missing response</v>
      </c>
      <c r="P75" s="42" t="str">
        <f>IF(OR($F75="Partial",$F75="No"),COUNTIF($F$3:$F75,"Partial")+COUNTIF($F$3:$F75,"No"),"")</f>
        <v/>
      </c>
      <c r="Q75" s="56" t="str">
        <f t="shared" si="21"/>
        <v/>
      </c>
    </row>
    <row r="76" spans="1:17" ht="54" customHeight="1">
      <c r="A76" s="39">
        <v>7</v>
      </c>
      <c r="B76" s="39" t="s">
        <v>238</v>
      </c>
      <c r="C76" s="44" t="s">
        <v>388</v>
      </c>
      <c r="D76" s="44" t="s">
        <v>141</v>
      </c>
      <c r="E76" s="44" t="s">
        <v>389</v>
      </c>
      <c r="F76" s="45" t="str">
        <f>IF(COUNTIF($F$77:$F$82,"Yes")+COUNTIF($F$77:$F$82,"Partial")+COUNTIF($F$77:$F$82,"No")+COUNTIF($F$77:$F$82,"N/A")&lt;6,"Incomplete - complete 6 OI lines",IF($K76=0,"All six marked N/A",$J76&amp;"/"&amp;$K76&amp;" ready"))</f>
        <v>Incomplete - complete 6 OI lines</v>
      </c>
      <c r="G76" s="46" t="s">
        <v>357</v>
      </c>
      <c r="H76" s="40"/>
      <c r="I76" s="41"/>
      <c r="J76" s="42">
        <f>SUM($J$77:$J$82)</f>
        <v>0</v>
      </c>
      <c r="K76" s="42">
        <f>SUM($K$77:$K$82)</f>
        <v>0</v>
      </c>
      <c r="L76" s="42" t="str">
        <f>IF(COUNTIF($F$77:$F$82,"Partial")+COUNTIF($F$77:$F$82,"No")&gt;0,"See sub-item gap(s)","")</f>
        <v/>
      </c>
      <c r="M76" s="42">
        <f t="shared" si="20"/>
        <v>90</v>
      </c>
      <c r="N76" s="43" t="str">
        <f>IF(COUNT($N$77:$N$82)=0,"",MIN($N$77:$N$82))</f>
        <v/>
      </c>
      <c r="O76" s="47" t="str">
        <f>"Parent summary - not scored separately"</f>
        <v>Parent summary - not scored separately</v>
      </c>
      <c r="P76" s="42" t="str">
        <f>""</f>
        <v/>
      </c>
      <c r="Q76" s="56" t="str">
        <f t="shared" si="21"/>
        <v/>
      </c>
    </row>
    <row r="77" spans="1:17" ht="30" customHeight="1">
      <c r="A77" s="48">
        <v>7</v>
      </c>
      <c r="B77" s="48" t="s">
        <v>238</v>
      </c>
      <c r="C77" s="48" t="s">
        <v>390</v>
      </c>
      <c r="D77" s="48" t="s">
        <v>141</v>
      </c>
      <c r="E77" s="51" t="s">
        <v>391</v>
      </c>
      <c r="F77" s="49"/>
      <c r="G77" s="49"/>
      <c r="H77" s="49"/>
      <c r="I77" s="50"/>
      <c r="J77" s="42" t="str">
        <f t="shared" ref="J77:J82" si="26">IF($F77="Yes",1,IF(OR($F77="Partial",$F77="No"),0,""))</f>
        <v/>
      </c>
      <c r="K77" s="42">
        <f t="shared" ref="K77:K82" si="27">IF(OR($F77="Yes",$F77="Partial",$F77="No"),1,0)</f>
        <v>0</v>
      </c>
      <c r="L77" s="42" t="str">
        <f t="shared" ref="L77:L82" si="28">IF(AND($D77="P1",OR($F77="Partial",$F77="No")),"P1 gap",IF(OR($F77="Partial",$F77="No"),"Gap",""))</f>
        <v/>
      </c>
      <c r="M77" s="42">
        <f t="shared" si="20"/>
        <v>90</v>
      </c>
      <c r="N77" s="43" t="str">
        <f>IF(OR($F77="Partial",$F77="No"),IF(Facility_Profile!$B$7="","",Facility_Profile!$B$7+$M77),"")</f>
        <v/>
      </c>
      <c r="O77" s="42" t="str">
        <f t="shared" ref="O77:O82" si="29">IF($F77="","Missing response",IF(OR($F77="Yes",$F77="Partial",$F77="No",$F77="N/A"),"OK","Check response"))</f>
        <v>Missing response</v>
      </c>
      <c r="P77" s="42" t="str">
        <f>IF(OR($F77="Partial",$F77="No"),COUNTIF($F$3:$F77,"Partial")+COUNTIF($F$3:$F77,"No"),"")</f>
        <v/>
      </c>
      <c r="Q77" s="56" t="str">
        <f t="shared" si="21"/>
        <v/>
      </c>
    </row>
    <row r="78" spans="1:17" ht="30" customHeight="1">
      <c r="A78" s="52">
        <v>7</v>
      </c>
      <c r="B78" s="52" t="s">
        <v>238</v>
      </c>
      <c r="C78" s="52" t="s">
        <v>392</v>
      </c>
      <c r="D78" s="52" t="s">
        <v>141</v>
      </c>
      <c r="E78" s="53" t="s">
        <v>393</v>
      </c>
      <c r="F78" s="49"/>
      <c r="G78" s="49"/>
      <c r="H78" s="49"/>
      <c r="I78" s="50"/>
      <c r="J78" s="42" t="str">
        <f t="shared" si="26"/>
        <v/>
      </c>
      <c r="K78" s="42">
        <f t="shared" si="27"/>
        <v>0</v>
      </c>
      <c r="L78" s="42" t="str">
        <f t="shared" si="28"/>
        <v/>
      </c>
      <c r="M78" s="42">
        <f t="shared" si="20"/>
        <v>90</v>
      </c>
      <c r="N78" s="43" t="str">
        <f>IF(OR($F78="Partial",$F78="No"),IF(Facility_Profile!$B$7="","",Facility_Profile!$B$7+$M78),"")</f>
        <v/>
      </c>
      <c r="O78" s="42" t="str">
        <f t="shared" si="29"/>
        <v>Missing response</v>
      </c>
      <c r="P78" s="42" t="str">
        <f>IF(OR($F78="Partial",$F78="No"),COUNTIF($F$3:$F78,"Partial")+COUNTIF($F$3:$F78,"No"),"")</f>
        <v/>
      </c>
      <c r="Q78" s="56" t="str">
        <f t="shared" si="21"/>
        <v/>
      </c>
    </row>
    <row r="79" spans="1:17" ht="30" customHeight="1">
      <c r="A79" s="48">
        <v>7</v>
      </c>
      <c r="B79" s="48" t="s">
        <v>238</v>
      </c>
      <c r="C79" s="48" t="s">
        <v>394</v>
      </c>
      <c r="D79" s="48" t="s">
        <v>141</v>
      </c>
      <c r="E79" s="51" t="s">
        <v>395</v>
      </c>
      <c r="F79" s="49"/>
      <c r="G79" s="49"/>
      <c r="H79" s="49"/>
      <c r="I79" s="50"/>
      <c r="J79" s="42" t="str">
        <f t="shared" si="26"/>
        <v/>
      </c>
      <c r="K79" s="42">
        <f t="shared" si="27"/>
        <v>0</v>
      </c>
      <c r="L79" s="42" t="str">
        <f t="shared" si="28"/>
        <v/>
      </c>
      <c r="M79" s="42">
        <f t="shared" si="20"/>
        <v>90</v>
      </c>
      <c r="N79" s="43" t="str">
        <f>IF(OR($F79="Partial",$F79="No"),IF(Facility_Profile!$B$7="","",Facility_Profile!$B$7+$M79),"")</f>
        <v/>
      </c>
      <c r="O79" s="42" t="str">
        <f t="shared" si="29"/>
        <v>Missing response</v>
      </c>
      <c r="P79" s="42" t="str">
        <f>IF(OR($F79="Partial",$F79="No"),COUNTIF($F$3:$F79,"Partial")+COUNTIF($F$3:$F79,"No"),"")</f>
        <v/>
      </c>
      <c r="Q79" s="56" t="str">
        <f t="shared" si="21"/>
        <v/>
      </c>
    </row>
    <row r="80" spans="1:17" ht="30" customHeight="1">
      <c r="A80" s="52">
        <v>7</v>
      </c>
      <c r="B80" s="52" t="s">
        <v>238</v>
      </c>
      <c r="C80" s="52" t="s">
        <v>396</v>
      </c>
      <c r="D80" s="52" t="s">
        <v>141</v>
      </c>
      <c r="E80" s="53" t="s">
        <v>397</v>
      </c>
      <c r="F80" s="49"/>
      <c r="G80" s="49"/>
      <c r="H80" s="49"/>
      <c r="I80" s="50"/>
      <c r="J80" s="42" t="str">
        <f t="shared" si="26"/>
        <v/>
      </c>
      <c r="K80" s="42">
        <f t="shared" si="27"/>
        <v>0</v>
      </c>
      <c r="L80" s="42" t="str">
        <f t="shared" si="28"/>
        <v/>
      </c>
      <c r="M80" s="42">
        <f t="shared" si="20"/>
        <v>90</v>
      </c>
      <c r="N80" s="43" t="str">
        <f>IF(OR($F80="Partial",$F80="No"),IF(Facility_Profile!$B$7="","",Facility_Profile!$B$7+$M80),"")</f>
        <v/>
      </c>
      <c r="O80" s="42" t="str">
        <f t="shared" si="29"/>
        <v>Missing response</v>
      </c>
      <c r="P80" s="42" t="str">
        <f>IF(OR($F80="Partial",$F80="No"),COUNTIF($F$3:$F80,"Partial")+COUNTIF($F$3:$F80,"No"),"")</f>
        <v/>
      </c>
      <c r="Q80" s="56" t="str">
        <f t="shared" si="21"/>
        <v/>
      </c>
    </row>
    <row r="81" spans="1:17" ht="30" customHeight="1">
      <c r="A81" s="48">
        <v>7</v>
      </c>
      <c r="B81" s="48" t="s">
        <v>238</v>
      </c>
      <c r="C81" s="48" t="s">
        <v>398</v>
      </c>
      <c r="D81" s="48" t="s">
        <v>141</v>
      </c>
      <c r="E81" s="51" t="s">
        <v>399</v>
      </c>
      <c r="F81" s="49"/>
      <c r="G81" s="49"/>
      <c r="H81" s="49"/>
      <c r="I81" s="50"/>
      <c r="J81" s="42" t="str">
        <f t="shared" si="26"/>
        <v/>
      </c>
      <c r="K81" s="42">
        <f t="shared" si="27"/>
        <v>0</v>
      </c>
      <c r="L81" s="42" t="str">
        <f t="shared" si="28"/>
        <v/>
      </c>
      <c r="M81" s="42">
        <f t="shared" si="20"/>
        <v>90</v>
      </c>
      <c r="N81" s="43" t="str">
        <f>IF(OR($F81="Partial",$F81="No"),IF(Facility_Profile!$B$7="","",Facility_Profile!$B$7+$M81),"")</f>
        <v/>
      </c>
      <c r="O81" s="42" t="str">
        <f t="shared" si="29"/>
        <v>Missing response</v>
      </c>
      <c r="P81" s="42" t="str">
        <f>IF(OR($F81="Partial",$F81="No"),COUNTIF($F$3:$F81,"Partial")+COUNTIF($F$3:$F81,"No"),"")</f>
        <v/>
      </c>
      <c r="Q81" s="56" t="str">
        <f t="shared" si="21"/>
        <v/>
      </c>
    </row>
    <row r="82" spans="1:17" ht="30" customHeight="1">
      <c r="A82" s="52">
        <v>7</v>
      </c>
      <c r="B82" s="52" t="s">
        <v>238</v>
      </c>
      <c r="C82" s="52" t="s">
        <v>400</v>
      </c>
      <c r="D82" s="52" t="s">
        <v>141</v>
      </c>
      <c r="E82" s="53" t="s">
        <v>401</v>
      </c>
      <c r="F82" s="49"/>
      <c r="G82" s="49"/>
      <c r="H82" s="49"/>
      <c r="I82" s="50"/>
      <c r="J82" s="42" t="str">
        <f t="shared" si="26"/>
        <v/>
      </c>
      <c r="K82" s="42">
        <f t="shared" si="27"/>
        <v>0</v>
      </c>
      <c r="L82" s="42" t="str">
        <f t="shared" si="28"/>
        <v/>
      </c>
      <c r="M82" s="42">
        <f t="shared" si="20"/>
        <v>90</v>
      </c>
      <c r="N82" s="43" t="str">
        <f>IF(OR($F82="Partial",$F82="No"),IF(Facility_Profile!$B$7="","",Facility_Profile!$B$7+$M82),"")</f>
        <v/>
      </c>
      <c r="O82" s="42" t="str">
        <f t="shared" si="29"/>
        <v>Missing response</v>
      </c>
      <c r="P82" s="42" t="str">
        <f>IF(OR($F82="Partial",$F82="No"),COUNTIF($F$3:$F82,"Partial")+COUNTIF($F$3:$F82,"No"),"")</f>
        <v/>
      </c>
      <c r="Q82" s="56" t="str">
        <f t="shared" si="21"/>
        <v/>
      </c>
    </row>
    <row r="83" spans="1:17" ht="54" customHeight="1">
      <c r="A83" s="39">
        <v>7</v>
      </c>
      <c r="B83" s="39" t="s">
        <v>238</v>
      </c>
      <c r="C83" s="44" t="s">
        <v>402</v>
      </c>
      <c r="D83" s="44" t="s">
        <v>141</v>
      </c>
      <c r="E83" s="44" t="s">
        <v>403</v>
      </c>
      <c r="F83" s="45" t="str">
        <f>IF(COUNTIF($F$84:$F$89,"Yes")+COUNTIF($F$84:$F$89,"Partial")+COUNTIF($F$84:$F$89,"No")+COUNTIF($F$84:$F$89,"N/A")&lt;6,"Incomplete - complete 6 OI lines",IF($K83=0,"All six marked N/A",$J83&amp;"/"&amp;$K83&amp;" ready"))</f>
        <v>Incomplete - complete 6 OI lines</v>
      </c>
      <c r="G83" s="46" t="s">
        <v>357</v>
      </c>
      <c r="H83" s="40"/>
      <c r="I83" s="41"/>
      <c r="J83" s="42">
        <f>SUM($J$84:$J$89)</f>
        <v>0</v>
      </c>
      <c r="K83" s="42">
        <f>SUM($K$84:$K$89)</f>
        <v>0</v>
      </c>
      <c r="L83" s="42" t="str">
        <f>IF(COUNTIF($F$84:$F$89,"Partial")+COUNTIF($F$84:$F$89,"No")&gt;0,"See sub-item gap(s)","")</f>
        <v/>
      </c>
      <c r="M83" s="42">
        <f t="shared" si="20"/>
        <v>90</v>
      </c>
      <c r="N83" s="43" t="str">
        <f>IF(COUNT($N$84:$N$89)=0,"",MIN($N$84:$N$89))</f>
        <v/>
      </c>
      <c r="O83" s="47" t="str">
        <f>"Parent summary - not scored separately"</f>
        <v>Parent summary - not scored separately</v>
      </c>
      <c r="P83" s="42" t="str">
        <f>""</f>
        <v/>
      </c>
      <c r="Q83" s="56" t="str">
        <f t="shared" si="21"/>
        <v/>
      </c>
    </row>
    <row r="84" spans="1:17" ht="30" customHeight="1">
      <c r="A84" s="48">
        <v>7</v>
      </c>
      <c r="B84" s="48" t="s">
        <v>238</v>
      </c>
      <c r="C84" s="48" t="s">
        <v>404</v>
      </c>
      <c r="D84" s="48" t="s">
        <v>141</v>
      </c>
      <c r="E84" s="51" t="s">
        <v>391</v>
      </c>
      <c r="F84" s="49"/>
      <c r="G84" s="49"/>
      <c r="H84" s="49"/>
      <c r="I84" s="50"/>
      <c r="J84" s="42" t="str">
        <f t="shared" ref="J84:J115" si="30">IF($F84="Yes",1,IF(OR($F84="Partial",$F84="No"),0,""))</f>
        <v/>
      </c>
      <c r="K84" s="42">
        <f t="shared" ref="K84:K115" si="31">IF(OR($F84="Yes",$F84="Partial",$F84="No"),1,0)</f>
        <v>0</v>
      </c>
      <c r="L84" s="42" t="str">
        <f t="shared" ref="L84:L115" si="32">IF(AND($D84="P1",OR($F84="Partial",$F84="No")),"P1 gap",IF(OR($F84="Partial",$F84="No"),"Gap",""))</f>
        <v/>
      </c>
      <c r="M84" s="42">
        <f t="shared" si="20"/>
        <v>90</v>
      </c>
      <c r="N84" s="43" t="str">
        <f>IF(OR($F84="Partial",$F84="No"),IF(Facility_Profile!$B$7="","",Facility_Profile!$B$7+$M84),"")</f>
        <v/>
      </c>
      <c r="O84" s="42" t="str">
        <f t="shared" ref="O84:O115" si="33">IF($F84="","Missing response",IF(OR($F84="Yes",$F84="Partial",$F84="No",$F84="N/A"),"OK","Check response"))</f>
        <v>Missing response</v>
      </c>
      <c r="P84" s="42" t="str">
        <f>IF(OR($F84="Partial",$F84="No"),COUNTIF($F$3:$F84,"Partial")+COUNTIF($F$3:$F84,"No"),"")</f>
        <v/>
      </c>
      <c r="Q84" s="56" t="str">
        <f t="shared" si="21"/>
        <v/>
      </c>
    </row>
    <row r="85" spans="1:17" ht="30" customHeight="1">
      <c r="A85" s="52">
        <v>7</v>
      </c>
      <c r="B85" s="52" t="s">
        <v>238</v>
      </c>
      <c r="C85" s="52" t="s">
        <v>405</v>
      </c>
      <c r="D85" s="52" t="s">
        <v>141</v>
      </c>
      <c r="E85" s="53" t="s">
        <v>393</v>
      </c>
      <c r="F85" s="49"/>
      <c r="G85" s="49"/>
      <c r="H85" s="49"/>
      <c r="I85" s="50"/>
      <c r="J85" s="42" t="str">
        <f t="shared" si="30"/>
        <v/>
      </c>
      <c r="K85" s="42">
        <f t="shared" si="31"/>
        <v>0</v>
      </c>
      <c r="L85" s="42" t="str">
        <f t="shared" si="32"/>
        <v/>
      </c>
      <c r="M85" s="42">
        <f t="shared" si="20"/>
        <v>90</v>
      </c>
      <c r="N85" s="43" t="str">
        <f>IF(OR($F85="Partial",$F85="No"),IF(Facility_Profile!$B$7="","",Facility_Profile!$B$7+$M85),"")</f>
        <v/>
      </c>
      <c r="O85" s="42" t="str">
        <f t="shared" si="33"/>
        <v>Missing response</v>
      </c>
      <c r="P85" s="42" t="str">
        <f>IF(OR($F85="Partial",$F85="No"),COUNTIF($F$3:$F85,"Partial")+COUNTIF($F$3:$F85,"No"),"")</f>
        <v/>
      </c>
      <c r="Q85" s="56" t="str">
        <f t="shared" si="21"/>
        <v/>
      </c>
    </row>
    <row r="86" spans="1:17" ht="30" customHeight="1">
      <c r="A86" s="48">
        <v>7</v>
      </c>
      <c r="B86" s="48" t="s">
        <v>238</v>
      </c>
      <c r="C86" s="48" t="s">
        <v>406</v>
      </c>
      <c r="D86" s="48" t="s">
        <v>141</v>
      </c>
      <c r="E86" s="51" t="s">
        <v>395</v>
      </c>
      <c r="F86" s="49"/>
      <c r="G86" s="49"/>
      <c r="H86" s="49"/>
      <c r="I86" s="50"/>
      <c r="J86" s="42" t="str">
        <f t="shared" si="30"/>
        <v/>
      </c>
      <c r="K86" s="42">
        <f t="shared" si="31"/>
        <v>0</v>
      </c>
      <c r="L86" s="42" t="str">
        <f t="shared" si="32"/>
        <v/>
      </c>
      <c r="M86" s="42">
        <f t="shared" si="20"/>
        <v>90</v>
      </c>
      <c r="N86" s="43" t="str">
        <f>IF(OR($F86="Partial",$F86="No"),IF(Facility_Profile!$B$7="","",Facility_Profile!$B$7+$M86),"")</f>
        <v/>
      </c>
      <c r="O86" s="42" t="str">
        <f t="shared" si="33"/>
        <v>Missing response</v>
      </c>
      <c r="P86" s="42" t="str">
        <f>IF(OR($F86="Partial",$F86="No"),COUNTIF($F$3:$F86,"Partial")+COUNTIF($F$3:$F86,"No"),"")</f>
        <v/>
      </c>
      <c r="Q86" s="56" t="str">
        <f t="shared" si="21"/>
        <v/>
      </c>
    </row>
    <row r="87" spans="1:17" ht="30" customHeight="1">
      <c r="A87" s="52">
        <v>7</v>
      </c>
      <c r="B87" s="52" t="s">
        <v>238</v>
      </c>
      <c r="C87" s="52" t="s">
        <v>407</v>
      </c>
      <c r="D87" s="52" t="s">
        <v>141</v>
      </c>
      <c r="E87" s="53" t="s">
        <v>397</v>
      </c>
      <c r="F87" s="49"/>
      <c r="G87" s="49"/>
      <c r="H87" s="49"/>
      <c r="I87" s="50"/>
      <c r="J87" s="42" t="str">
        <f t="shared" si="30"/>
        <v/>
      </c>
      <c r="K87" s="42">
        <f t="shared" si="31"/>
        <v>0</v>
      </c>
      <c r="L87" s="42" t="str">
        <f t="shared" si="32"/>
        <v/>
      </c>
      <c r="M87" s="42">
        <f t="shared" si="20"/>
        <v>90</v>
      </c>
      <c r="N87" s="43" t="str">
        <f>IF(OR($F87="Partial",$F87="No"),IF(Facility_Profile!$B$7="","",Facility_Profile!$B$7+$M87),"")</f>
        <v/>
      </c>
      <c r="O87" s="42" t="str">
        <f t="shared" si="33"/>
        <v>Missing response</v>
      </c>
      <c r="P87" s="42" t="str">
        <f>IF(OR($F87="Partial",$F87="No"),COUNTIF($F$3:$F87,"Partial")+COUNTIF($F$3:$F87,"No"),"")</f>
        <v/>
      </c>
      <c r="Q87" s="56" t="str">
        <f t="shared" si="21"/>
        <v/>
      </c>
    </row>
    <row r="88" spans="1:17" ht="30" customHeight="1">
      <c r="A88" s="48">
        <v>7</v>
      </c>
      <c r="B88" s="48" t="s">
        <v>238</v>
      </c>
      <c r="C88" s="48" t="s">
        <v>408</v>
      </c>
      <c r="D88" s="48" t="s">
        <v>141</v>
      </c>
      <c r="E88" s="51" t="s">
        <v>399</v>
      </c>
      <c r="F88" s="49"/>
      <c r="G88" s="49"/>
      <c r="H88" s="49"/>
      <c r="I88" s="50"/>
      <c r="J88" s="42" t="str">
        <f t="shared" si="30"/>
        <v/>
      </c>
      <c r="K88" s="42">
        <f t="shared" si="31"/>
        <v>0</v>
      </c>
      <c r="L88" s="42" t="str">
        <f t="shared" si="32"/>
        <v/>
      </c>
      <c r="M88" s="42">
        <f t="shared" si="20"/>
        <v>90</v>
      </c>
      <c r="N88" s="43" t="str">
        <f>IF(OR($F88="Partial",$F88="No"),IF(Facility_Profile!$B$7="","",Facility_Profile!$B$7+$M88),"")</f>
        <v/>
      </c>
      <c r="O88" s="42" t="str">
        <f t="shared" si="33"/>
        <v>Missing response</v>
      </c>
      <c r="P88" s="42" t="str">
        <f>IF(OR($F88="Partial",$F88="No"),COUNTIF($F$3:$F88,"Partial")+COUNTIF($F$3:$F88,"No"),"")</f>
        <v/>
      </c>
      <c r="Q88" s="56" t="str">
        <f t="shared" si="21"/>
        <v/>
      </c>
    </row>
    <row r="89" spans="1:17" ht="30" customHeight="1">
      <c r="A89" s="52">
        <v>7</v>
      </c>
      <c r="B89" s="52" t="s">
        <v>238</v>
      </c>
      <c r="C89" s="52" t="s">
        <v>409</v>
      </c>
      <c r="D89" s="52" t="s">
        <v>141</v>
      </c>
      <c r="E89" s="53" t="s">
        <v>401</v>
      </c>
      <c r="F89" s="49"/>
      <c r="G89" s="49"/>
      <c r="H89" s="49"/>
      <c r="I89" s="50"/>
      <c r="J89" s="42" t="str">
        <f t="shared" si="30"/>
        <v/>
      </c>
      <c r="K89" s="42">
        <f t="shared" si="31"/>
        <v>0</v>
      </c>
      <c r="L89" s="42" t="str">
        <f t="shared" si="32"/>
        <v/>
      </c>
      <c r="M89" s="42">
        <f t="shared" si="20"/>
        <v>90</v>
      </c>
      <c r="N89" s="43" t="str">
        <f>IF(OR($F89="Partial",$F89="No"),IF(Facility_Profile!$B$7="","",Facility_Profile!$B$7+$M89),"")</f>
        <v/>
      </c>
      <c r="O89" s="42" t="str">
        <f t="shared" si="33"/>
        <v>Missing response</v>
      </c>
      <c r="P89" s="42" t="str">
        <f>IF(OR($F89="Partial",$F89="No"),COUNTIF($F$3:$F89,"Partial")+COUNTIF($F$3:$F89,"No"),"")</f>
        <v/>
      </c>
      <c r="Q89" s="56" t="str">
        <f t="shared" si="21"/>
        <v/>
      </c>
    </row>
    <row r="90" spans="1:17" ht="48" customHeight="1">
      <c r="A90" s="13">
        <v>8</v>
      </c>
      <c r="B90" s="13" t="s">
        <v>239</v>
      </c>
      <c r="C90" s="13" t="s">
        <v>410</v>
      </c>
      <c r="D90" s="13" t="s">
        <v>134</v>
      </c>
      <c r="E90" s="13" t="s">
        <v>411</v>
      </c>
      <c r="F90" s="27"/>
      <c r="G90" s="27"/>
      <c r="H90" s="27"/>
      <c r="I90" s="29"/>
      <c r="J90" s="28" t="str">
        <f t="shared" si="30"/>
        <v/>
      </c>
      <c r="K90" s="28">
        <f t="shared" si="31"/>
        <v>0</v>
      </c>
      <c r="L90" s="28" t="str">
        <f t="shared" si="32"/>
        <v/>
      </c>
      <c r="M90" s="28">
        <f t="shared" si="20"/>
        <v>30</v>
      </c>
      <c r="N90" s="30" t="str">
        <f>IF(OR($F90="Partial",$F90="No"),IF(Facility_Profile!$B$7="","",Facility_Profile!$B$7+$M90),"")</f>
        <v/>
      </c>
      <c r="O90" s="28" t="str">
        <f t="shared" si="33"/>
        <v>Missing response</v>
      </c>
      <c r="P90" s="28" t="str">
        <f>IF(OR($F90="Partial",$F90="No"),COUNTIF($F$3:$F90,"Partial")+COUNTIF($F$3:$F90,"No"),"")</f>
        <v/>
      </c>
      <c r="Q90" s="55" t="str">
        <f t="shared" si="21"/>
        <v/>
      </c>
    </row>
    <row r="91" spans="1:17" ht="48" customHeight="1">
      <c r="A91" s="13">
        <v>8</v>
      </c>
      <c r="B91" s="13" t="s">
        <v>239</v>
      </c>
      <c r="C91" s="13" t="s">
        <v>412</v>
      </c>
      <c r="D91" s="13" t="s">
        <v>134</v>
      </c>
      <c r="E91" s="13" t="s">
        <v>413</v>
      </c>
      <c r="F91" s="27"/>
      <c r="G91" s="27"/>
      <c r="H91" s="27"/>
      <c r="I91" s="29"/>
      <c r="J91" s="28" t="str">
        <f t="shared" si="30"/>
        <v/>
      </c>
      <c r="K91" s="28">
        <f t="shared" si="31"/>
        <v>0</v>
      </c>
      <c r="L91" s="28" t="str">
        <f t="shared" si="32"/>
        <v/>
      </c>
      <c r="M91" s="28">
        <f t="shared" si="20"/>
        <v>30</v>
      </c>
      <c r="N91" s="30" t="str">
        <f>IF(OR($F91="Partial",$F91="No"),IF(Facility_Profile!$B$7="","",Facility_Profile!$B$7+$M91),"")</f>
        <v/>
      </c>
      <c r="O91" s="28" t="str">
        <f t="shared" si="33"/>
        <v>Missing response</v>
      </c>
      <c r="P91" s="28" t="str">
        <f>IF(OR($F91="Partial",$F91="No"),COUNTIF($F$3:$F91,"Partial")+COUNTIF($F$3:$F91,"No"),"")</f>
        <v/>
      </c>
      <c r="Q91" s="55" t="str">
        <f t="shared" si="21"/>
        <v/>
      </c>
    </row>
    <row r="92" spans="1:17" ht="48" customHeight="1">
      <c r="A92" s="13">
        <v>8</v>
      </c>
      <c r="B92" s="13" t="s">
        <v>239</v>
      </c>
      <c r="C92" s="13" t="s">
        <v>414</v>
      </c>
      <c r="D92" s="13" t="s">
        <v>134</v>
      </c>
      <c r="E92" s="13" t="s">
        <v>415</v>
      </c>
      <c r="F92" s="27"/>
      <c r="G92" s="27"/>
      <c r="H92" s="27"/>
      <c r="I92" s="29"/>
      <c r="J92" s="28" t="str">
        <f t="shared" si="30"/>
        <v/>
      </c>
      <c r="K92" s="28">
        <f t="shared" si="31"/>
        <v>0</v>
      </c>
      <c r="L92" s="28" t="str">
        <f t="shared" si="32"/>
        <v/>
      </c>
      <c r="M92" s="28">
        <f t="shared" si="20"/>
        <v>30</v>
      </c>
      <c r="N92" s="30" t="str">
        <f>IF(OR($F92="Partial",$F92="No"),IF(Facility_Profile!$B$7="","",Facility_Profile!$B$7+$M92),"")</f>
        <v/>
      </c>
      <c r="O92" s="28" t="str">
        <f t="shared" si="33"/>
        <v>Missing response</v>
      </c>
      <c r="P92" s="28" t="str">
        <f>IF(OR($F92="Partial",$F92="No"),COUNTIF($F$3:$F92,"Partial")+COUNTIF($F$3:$F92,"No"),"")</f>
        <v/>
      </c>
      <c r="Q92" s="55" t="str">
        <f t="shared" si="21"/>
        <v/>
      </c>
    </row>
    <row r="93" spans="1:17" ht="48" customHeight="1">
      <c r="A93" s="13">
        <v>8</v>
      </c>
      <c r="B93" s="13" t="s">
        <v>239</v>
      </c>
      <c r="C93" s="13" t="s">
        <v>416</v>
      </c>
      <c r="D93" s="13" t="s">
        <v>134</v>
      </c>
      <c r="E93" s="13" t="s">
        <v>417</v>
      </c>
      <c r="F93" s="27"/>
      <c r="G93" s="27"/>
      <c r="H93" s="27"/>
      <c r="I93" s="29"/>
      <c r="J93" s="28" t="str">
        <f t="shared" si="30"/>
        <v/>
      </c>
      <c r="K93" s="28">
        <f t="shared" si="31"/>
        <v>0</v>
      </c>
      <c r="L93" s="28" t="str">
        <f t="shared" si="32"/>
        <v/>
      </c>
      <c r="M93" s="28">
        <f t="shared" si="20"/>
        <v>30</v>
      </c>
      <c r="N93" s="30" t="str">
        <f>IF(OR($F93="Partial",$F93="No"),IF(Facility_Profile!$B$7="","",Facility_Profile!$B$7+$M93),"")</f>
        <v/>
      </c>
      <c r="O93" s="28" t="str">
        <f t="shared" si="33"/>
        <v>Missing response</v>
      </c>
      <c r="P93" s="28" t="str">
        <f>IF(OR($F93="Partial",$F93="No"),COUNTIF($F$3:$F93,"Partial")+COUNTIF($F$3:$F93,"No"),"")</f>
        <v/>
      </c>
      <c r="Q93" s="55" t="str">
        <f t="shared" si="21"/>
        <v/>
      </c>
    </row>
    <row r="94" spans="1:17" ht="48" customHeight="1">
      <c r="A94" s="13">
        <v>8</v>
      </c>
      <c r="B94" s="13" t="s">
        <v>239</v>
      </c>
      <c r="C94" s="13" t="s">
        <v>418</v>
      </c>
      <c r="D94" s="13" t="s">
        <v>141</v>
      </c>
      <c r="E94" s="13" t="s">
        <v>419</v>
      </c>
      <c r="F94" s="27"/>
      <c r="G94" s="27"/>
      <c r="H94" s="27"/>
      <c r="I94" s="29"/>
      <c r="J94" s="28" t="str">
        <f t="shared" si="30"/>
        <v/>
      </c>
      <c r="K94" s="28">
        <f t="shared" si="31"/>
        <v>0</v>
      </c>
      <c r="L94" s="28" t="str">
        <f t="shared" si="32"/>
        <v/>
      </c>
      <c r="M94" s="28">
        <f t="shared" si="20"/>
        <v>90</v>
      </c>
      <c r="N94" s="30" t="str">
        <f>IF(OR($F94="Partial",$F94="No"),IF(Facility_Profile!$B$7="","",Facility_Profile!$B$7+$M94),"")</f>
        <v/>
      </c>
      <c r="O94" s="28" t="str">
        <f t="shared" si="33"/>
        <v>Missing response</v>
      </c>
      <c r="P94" s="28" t="str">
        <f>IF(OR($F94="Partial",$F94="No"),COUNTIF($F$3:$F94,"Partial")+COUNTIF($F$3:$F94,"No"),"")</f>
        <v/>
      </c>
      <c r="Q94" s="55" t="str">
        <f t="shared" si="21"/>
        <v/>
      </c>
    </row>
    <row r="95" spans="1:17" ht="48" customHeight="1">
      <c r="A95" s="13">
        <v>8</v>
      </c>
      <c r="B95" s="13" t="s">
        <v>239</v>
      </c>
      <c r="C95" s="13" t="s">
        <v>420</v>
      </c>
      <c r="D95" s="13" t="s">
        <v>141</v>
      </c>
      <c r="E95" s="13" t="s">
        <v>421</v>
      </c>
      <c r="F95" s="27"/>
      <c r="G95" s="27"/>
      <c r="H95" s="27"/>
      <c r="I95" s="29"/>
      <c r="J95" s="28" t="str">
        <f t="shared" si="30"/>
        <v/>
      </c>
      <c r="K95" s="28">
        <f t="shared" si="31"/>
        <v>0</v>
      </c>
      <c r="L95" s="28" t="str">
        <f t="shared" si="32"/>
        <v/>
      </c>
      <c r="M95" s="28">
        <f t="shared" si="20"/>
        <v>90</v>
      </c>
      <c r="N95" s="30" t="str">
        <f>IF(OR($F95="Partial",$F95="No"),IF(Facility_Profile!$B$7="","",Facility_Profile!$B$7+$M95),"")</f>
        <v/>
      </c>
      <c r="O95" s="28" t="str">
        <f t="shared" si="33"/>
        <v>Missing response</v>
      </c>
      <c r="P95" s="28" t="str">
        <f>IF(OR($F95="Partial",$F95="No"),COUNTIF($F$3:$F95,"Partial")+COUNTIF($F$3:$F95,"No"),"")</f>
        <v/>
      </c>
      <c r="Q95" s="55" t="str">
        <f t="shared" si="21"/>
        <v/>
      </c>
    </row>
    <row r="96" spans="1:17" ht="48" customHeight="1">
      <c r="A96" s="13">
        <v>9</v>
      </c>
      <c r="B96" s="13" t="s">
        <v>240</v>
      </c>
      <c r="C96" s="13" t="s">
        <v>422</v>
      </c>
      <c r="D96" s="13" t="s">
        <v>141</v>
      </c>
      <c r="E96" s="13" t="s">
        <v>423</v>
      </c>
      <c r="F96" s="27"/>
      <c r="G96" s="27"/>
      <c r="H96" s="27"/>
      <c r="I96" s="29"/>
      <c r="J96" s="28" t="str">
        <f t="shared" si="30"/>
        <v/>
      </c>
      <c r="K96" s="28">
        <f t="shared" si="31"/>
        <v>0</v>
      </c>
      <c r="L96" s="28" t="str">
        <f t="shared" si="32"/>
        <v/>
      </c>
      <c r="M96" s="28">
        <f t="shared" si="20"/>
        <v>90</v>
      </c>
      <c r="N96" s="30" t="str">
        <f>IF(OR($F96="Partial",$F96="No"),IF(Facility_Profile!$B$7="","",Facility_Profile!$B$7+$M96),"")</f>
        <v/>
      </c>
      <c r="O96" s="28" t="str">
        <f t="shared" si="33"/>
        <v>Missing response</v>
      </c>
      <c r="P96" s="28" t="str">
        <f>IF(OR($F96="Partial",$F96="No"),COUNTIF($F$3:$F96,"Partial")+COUNTIF($F$3:$F96,"No"),"")</f>
        <v/>
      </c>
      <c r="Q96" s="55" t="str">
        <f t="shared" si="21"/>
        <v/>
      </c>
    </row>
    <row r="97" spans="1:17" ht="48" customHeight="1">
      <c r="A97" s="13">
        <v>9</v>
      </c>
      <c r="B97" s="13" t="s">
        <v>240</v>
      </c>
      <c r="C97" s="13" t="s">
        <v>424</v>
      </c>
      <c r="D97" s="13" t="s">
        <v>141</v>
      </c>
      <c r="E97" s="13" t="s">
        <v>425</v>
      </c>
      <c r="F97" s="27"/>
      <c r="G97" s="27"/>
      <c r="H97" s="27"/>
      <c r="I97" s="29"/>
      <c r="J97" s="28" t="str">
        <f t="shared" si="30"/>
        <v/>
      </c>
      <c r="K97" s="28">
        <f t="shared" si="31"/>
        <v>0</v>
      </c>
      <c r="L97" s="28" t="str">
        <f t="shared" si="32"/>
        <v/>
      </c>
      <c r="M97" s="28">
        <f t="shared" si="20"/>
        <v>90</v>
      </c>
      <c r="N97" s="30" t="str">
        <f>IF(OR($F97="Partial",$F97="No"),IF(Facility_Profile!$B$7="","",Facility_Profile!$B$7+$M97),"")</f>
        <v/>
      </c>
      <c r="O97" s="28" t="str">
        <f t="shared" si="33"/>
        <v>Missing response</v>
      </c>
      <c r="P97" s="28" t="str">
        <f>IF(OR($F97="Partial",$F97="No"),COUNTIF($F$3:$F97,"Partial")+COUNTIF($F$3:$F97,"No"),"")</f>
        <v/>
      </c>
      <c r="Q97" s="55" t="str">
        <f t="shared" si="21"/>
        <v/>
      </c>
    </row>
    <row r="98" spans="1:17" ht="48" customHeight="1">
      <c r="A98" s="13">
        <v>9</v>
      </c>
      <c r="B98" s="13" t="s">
        <v>240</v>
      </c>
      <c r="C98" s="13" t="s">
        <v>426</v>
      </c>
      <c r="D98" s="13" t="s">
        <v>134</v>
      </c>
      <c r="E98" s="13" t="s">
        <v>427</v>
      </c>
      <c r="F98" s="27"/>
      <c r="G98" s="27"/>
      <c r="H98" s="27"/>
      <c r="I98" s="29"/>
      <c r="J98" s="28" t="str">
        <f t="shared" si="30"/>
        <v/>
      </c>
      <c r="K98" s="28">
        <f t="shared" si="31"/>
        <v>0</v>
      </c>
      <c r="L98" s="28" t="str">
        <f t="shared" si="32"/>
        <v/>
      </c>
      <c r="M98" s="28">
        <f t="shared" si="20"/>
        <v>30</v>
      </c>
      <c r="N98" s="30" t="str">
        <f>IF(OR($F98="Partial",$F98="No"),IF(Facility_Profile!$B$7="","",Facility_Profile!$B$7+$M98),"")</f>
        <v/>
      </c>
      <c r="O98" s="28" t="str">
        <f t="shared" si="33"/>
        <v>Missing response</v>
      </c>
      <c r="P98" s="28" t="str">
        <f>IF(OR($F98="Partial",$F98="No"),COUNTIF($F$3:$F98,"Partial")+COUNTIF($F$3:$F98,"No"),"")</f>
        <v/>
      </c>
      <c r="Q98" s="55" t="str">
        <f t="shared" si="21"/>
        <v/>
      </c>
    </row>
    <row r="99" spans="1:17" ht="48" customHeight="1">
      <c r="A99" s="13">
        <v>9</v>
      </c>
      <c r="B99" s="13" t="s">
        <v>240</v>
      </c>
      <c r="C99" s="13" t="s">
        <v>428</v>
      </c>
      <c r="D99" s="13" t="s">
        <v>134</v>
      </c>
      <c r="E99" s="13" t="s">
        <v>429</v>
      </c>
      <c r="F99" s="27"/>
      <c r="G99" s="27"/>
      <c r="H99" s="27"/>
      <c r="I99" s="29"/>
      <c r="J99" s="28" t="str">
        <f t="shared" si="30"/>
        <v/>
      </c>
      <c r="K99" s="28">
        <f t="shared" si="31"/>
        <v>0</v>
      </c>
      <c r="L99" s="28" t="str">
        <f t="shared" si="32"/>
        <v/>
      </c>
      <c r="M99" s="28">
        <f t="shared" ref="M99:M130" si="34">IF($D99="P1",30,IF($D99="P2",90,IF($D99="P3",180,"")))</f>
        <v>30</v>
      </c>
      <c r="N99" s="30" t="str">
        <f>IF(OR($F99="Partial",$F99="No"),IF(Facility_Profile!$B$7="","",Facility_Profile!$B$7+$M99),"")</f>
        <v/>
      </c>
      <c r="O99" s="28" t="str">
        <f t="shared" si="33"/>
        <v>Missing response</v>
      </c>
      <c r="P99" s="28" t="str">
        <f>IF(OR($F99="Partial",$F99="No"),COUNTIF($F$3:$F99,"Partial")+COUNTIF($F$3:$F99,"No"),"")</f>
        <v/>
      </c>
      <c r="Q99" s="55" t="str">
        <f t="shared" ref="Q99:Q130" si="35">IFERROR($J99/$K99,"")</f>
        <v/>
      </c>
    </row>
    <row r="100" spans="1:17" ht="48" customHeight="1">
      <c r="A100" s="13">
        <v>9</v>
      </c>
      <c r="B100" s="13" t="s">
        <v>240</v>
      </c>
      <c r="C100" s="13" t="s">
        <v>430</v>
      </c>
      <c r="D100" s="13" t="s">
        <v>141</v>
      </c>
      <c r="E100" s="13" t="s">
        <v>431</v>
      </c>
      <c r="F100" s="27"/>
      <c r="G100" s="27"/>
      <c r="H100" s="27"/>
      <c r="I100" s="29"/>
      <c r="J100" s="28" t="str">
        <f t="shared" si="30"/>
        <v/>
      </c>
      <c r="K100" s="28">
        <f t="shared" si="31"/>
        <v>0</v>
      </c>
      <c r="L100" s="28" t="str">
        <f t="shared" si="32"/>
        <v/>
      </c>
      <c r="M100" s="28">
        <f t="shared" si="34"/>
        <v>90</v>
      </c>
      <c r="N100" s="30" t="str">
        <f>IF(OR($F100="Partial",$F100="No"),IF(Facility_Profile!$B$7="","",Facility_Profile!$B$7+$M100),"")</f>
        <v/>
      </c>
      <c r="O100" s="28" t="str">
        <f t="shared" si="33"/>
        <v>Missing response</v>
      </c>
      <c r="P100" s="28" t="str">
        <f>IF(OR($F100="Partial",$F100="No"),COUNTIF($F$3:$F100,"Partial")+COUNTIF($F$3:$F100,"No"),"")</f>
        <v/>
      </c>
      <c r="Q100" s="55" t="str">
        <f t="shared" si="35"/>
        <v/>
      </c>
    </row>
    <row r="101" spans="1:17" ht="48" customHeight="1">
      <c r="A101" s="13">
        <v>9</v>
      </c>
      <c r="B101" s="13" t="s">
        <v>240</v>
      </c>
      <c r="C101" s="13" t="s">
        <v>432</v>
      </c>
      <c r="D101" s="13" t="s">
        <v>148</v>
      </c>
      <c r="E101" s="13" t="s">
        <v>433</v>
      </c>
      <c r="F101" s="27"/>
      <c r="G101" s="27"/>
      <c r="H101" s="27"/>
      <c r="I101" s="29"/>
      <c r="J101" s="28" t="str">
        <f t="shared" si="30"/>
        <v/>
      </c>
      <c r="K101" s="28">
        <f t="shared" si="31"/>
        <v>0</v>
      </c>
      <c r="L101" s="28" t="str">
        <f t="shared" si="32"/>
        <v/>
      </c>
      <c r="M101" s="28">
        <f t="shared" si="34"/>
        <v>180</v>
      </c>
      <c r="N101" s="30" t="str">
        <f>IF(OR($F101="Partial",$F101="No"),IF(Facility_Profile!$B$7="","",Facility_Profile!$B$7+$M101),"")</f>
        <v/>
      </c>
      <c r="O101" s="28" t="str">
        <f t="shared" si="33"/>
        <v>Missing response</v>
      </c>
      <c r="P101" s="28" t="str">
        <f>IF(OR($F101="Partial",$F101="No"),COUNTIF($F$3:$F101,"Partial")+COUNTIF($F$3:$F101,"No"),"")</f>
        <v/>
      </c>
      <c r="Q101" s="55" t="str">
        <f t="shared" si="35"/>
        <v/>
      </c>
    </row>
    <row r="102" spans="1:17" ht="48" customHeight="1">
      <c r="A102" s="13">
        <v>10</v>
      </c>
      <c r="B102" s="13" t="s">
        <v>241</v>
      </c>
      <c r="C102" s="13" t="s">
        <v>434</v>
      </c>
      <c r="D102" s="13" t="s">
        <v>134</v>
      </c>
      <c r="E102" s="13" t="s">
        <v>435</v>
      </c>
      <c r="F102" s="27"/>
      <c r="G102" s="27"/>
      <c r="H102" s="27"/>
      <c r="I102" s="29"/>
      <c r="J102" s="28" t="str">
        <f t="shared" si="30"/>
        <v/>
      </c>
      <c r="K102" s="28">
        <f t="shared" si="31"/>
        <v>0</v>
      </c>
      <c r="L102" s="28" t="str">
        <f t="shared" si="32"/>
        <v/>
      </c>
      <c r="M102" s="28">
        <f t="shared" si="34"/>
        <v>30</v>
      </c>
      <c r="N102" s="30" t="str">
        <f>IF(OR($F102="Partial",$F102="No"),IF(Facility_Profile!$B$7="","",Facility_Profile!$B$7+$M102),"")</f>
        <v/>
      </c>
      <c r="O102" s="28" t="str">
        <f t="shared" si="33"/>
        <v>Missing response</v>
      </c>
      <c r="P102" s="28" t="str">
        <f>IF(OR($F102="Partial",$F102="No"),COUNTIF($F$3:$F102,"Partial")+COUNTIF($F$3:$F102,"No"),"")</f>
        <v/>
      </c>
      <c r="Q102" s="55" t="str">
        <f t="shared" si="35"/>
        <v/>
      </c>
    </row>
    <row r="103" spans="1:17" ht="48" customHeight="1">
      <c r="A103" s="13">
        <v>10</v>
      </c>
      <c r="B103" s="13" t="s">
        <v>241</v>
      </c>
      <c r="C103" s="13" t="s">
        <v>436</v>
      </c>
      <c r="D103" s="13" t="s">
        <v>134</v>
      </c>
      <c r="E103" s="13" t="s">
        <v>437</v>
      </c>
      <c r="F103" s="27"/>
      <c r="G103" s="27"/>
      <c r="H103" s="27"/>
      <c r="I103" s="29"/>
      <c r="J103" s="28" t="str">
        <f t="shared" si="30"/>
        <v/>
      </c>
      <c r="K103" s="28">
        <f t="shared" si="31"/>
        <v>0</v>
      </c>
      <c r="L103" s="28" t="str">
        <f t="shared" si="32"/>
        <v/>
      </c>
      <c r="M103" s="28">
        <f t="shared" si="34"/>
        <v>30</v>
      </c>
      <c r="N103" s="30" t="str">
        <f>IF(OR($F103="Partial",$F103="No"),IF(Facility_Profile!$B$7="","",Facility_Profile!$B$7+$M103),"")</f>
        <v/>
      </c>
      <c r="O103" s="28" t="str">
        <f t="shared" si="33"/>
        <v>Missing response</v>
      </c>
      <c r="P103" s="28" t="str">
        <f>IF(OR($F103="Partial",$F103="No"),COUNTIF($F$3:$F103,"Partial")+COUNTIF($F$3:$F103,"No"),"")</f>
        <v/>
      </c>
      <c r="Q103" s="55" t="str">
        <f t="shared" si="35"/>
        <v/>
      </c>
    </row>
    <row r="104" spans="1:17" ht="48" customHeight="1">
      <c r="A104" s="13">
        <v>10</v>
      </c>
      <c r="B104" s="13" t="s">
        <v>241</v>
      </c>
      <c r="C104" s="13" t="s">
        <v>438</v>
      </c>
      <c r="D104" s="13" t="s">
        <v>134</v>
      </c>
      <c r="E104" s="13" t="s">
        <v>439</v>
      </c>
      <c r="F104" s="27"/>
      <c r="G104" s="27"/>
      <c r="H104" s="27"/>
      <c r="I104" s="29"/>
      <c r="J104" s="28" t="str">
        <f t="shared" si="30"/>
        <v/>
      </c>
      <c r="K104" s="28">
        <f t="shared" si="31"/>
        <v>0</v>
      </c>
      <c r="L104" s="28" t="str">
        <f t="shared" si="32"/>
        <v/>
      </c>
      <c r="M104" s="28">
        <f t="shared" si="34"/>
        <v>30</v>
      </c>
      <c r="N104" s="30" t="str">
        <f>IF(OR($F104="Partial",$F104="No"),IF(Facility_Profile!$B$7="","",Facility_Profile!$B$7+$M104),"")</f>
        <v/>
      </c>
      <c r="O104" s="28" t="str">
        <f t="shared" si="33"/>
        <v>Missing response</v>
      </c>
      <c r="P104" s="28" t="str">
        <f>IF(OR($F104="Partial",$F104="No"),COUNTIF($F$3:$F104,"Partial")+COUNTIF($F$3:$F104,"No"),"")</f>
        <v/>
      </c>
      <c r="Q104" s="55" t="str">
        <f t="shared" si="35"/>
        <v/>
      </c>
    </row>
    <row r="105" spans="1:17" ht="48" customHeight="1">
      <c r="A105" s="13">
        <v>10</v>
      </c>
      <c r="B105" s="13" t="s">
        <v>241</v>
      </c>
      <c r="C105" s="13" t="s">
        <v>440</v>
      </c>
      <c r="D105" s="13" t="s">
        <v>134</v>
      </c>
      <c r="E105" s="13" t="s">
        <v>441</v>
      </c>
      <c r="F105" s="27"/>
      <c r="G105" s="27"/>
      <c r="H105" s="27"/>
      <c r="I105" s="29"/>
      <c r="J105" s="28" t="str">
        <f t="shared" si="30"/>
        <v/>
      </c>
      <c r="K105" s="28">
        <f t="shared" si="31"/>
        <v>0</v>
      </c>
      <c r="L105" s="28" t="str">
        <f t="shared" si="32"/>
        <v/>
      </c>
      <c r="M105" s="28">
        <f t="shared" si="34"/>
        <v>30</v>
      </c>
      <c r="N105" s="30" t="str">
        <f>IF(OR($F105="Partial",$F105="No"),IF(Facility_Profile!$B$7="","",Facility_Profile!$B$7+$M105),"")</f>
        <v/>
      </c>
      <c r="O105" s="28" t="str">
        <f t="shared" si="33"/>
        <v>Missing response</v>
      </c>
      <c r="P105" s="28" t="str">
        <f>IF(OR($F105="Partial",$F105="No"),COUNTIF($F$3:$F105,"Partial")+COUNTIF($F$3:$F105,"No"),"")</f>
        <v/>
      </c>
      <c r="Q105" s="55" t="str">
        <f t="shared" si="35"/>
        <v/>
      </c>
    </row>
    <row r="106" spans="1:17" ht="48" customHeight="1">
      <c r="A106" s="13">
        <v>10</v>
      </c>
      <c r="B106" s="13" t="s">
        <v>241</v>
      </c>
      <c r="C106" s="13" t="s">
        <v>442</v>
      </c>
      <c r="D106" s="13" t="s">
        <v>141</v>
      </c>
      <c r="E106" s="13" t="s">
        <v>443</v>
      </c>
      <c r="F106" s="27"/>
      <c r="G106" s="27"/>
      <c r="H106" s="27"/>
      <c r="I106" s="29"/>
      <c r="J106" s="28" t="str">
        <f t="shared" si="30"/>
        <v/>
      </c>
      <c r="K106" s="28">
        <f t="shared" si="31"/>
        <v>0</v>
      </c>
      <c r="L106" s="28" t="str">
        <f t="shared" si="32"/>
        <v/>
      </c>
      <c r="M106" s="28">
        <f t="shared" si="34"/>
        <v>90</v>
      </c>
      <c r="N106" s="30" t="str">
        <f>IF(OR($F106="Partial",$F106="No"),IF(Facility_Profile!$B$7="","",Facility_Profile!$B$7+$M106),"")</f>
        <v/>
      </c>
      <c r="O106" s="28" t="str">
        <f t="shared" si="33"/>
        <v>Missing response</v>
      </c>
      <c r="P106" s="28" t="str">
        <f>IF(OR($F106="Partial",$F106="No"),COUNTIF($F$3:$F106,"Partial")+COUNTIF($F$3:$F106,"No"),"")</f>
        <v/>
      </c>
      <c r="Q106" s="55" t="str">
        <f t="shared" si="35"/>
        <v/>
      </c>
    </row>
    <row r="107" spans="1:17" ht="48" customHeight="1">
      <c r="A107" s="13">
        <v>10</v>
      </c>
      <c r="B107" s="13" t="s">
        <v>241</v>
      </c>
      <c r="C107" s="13" t="s">
        <v>444</v>
      </c>
      <c r="D107" s="13" t="s">
        <v>141</v>
      </c>
      <c r="E107" s="13" t="s">
        <v>445</v>
      </c>
      <c r="F107" s="27"/>
      <c r="G107" s="27"/>
      <c r="H107" s="27"/>
      <c r="I107" s="29"/>
      <c r="J107" s="28" t="str">
        <f t="shared" si="30"/>
        <v/>
      </c>
      <c r="K107" s="28">
        <f t="shared" si="31"/>
        <v>0</v>
      </c>
      <c r="L107" s="28" t="str">
        <f t="shared" si="32"/>
        <v/>
      </c>
      <c r="M107" s="28">
        <f t="shared" si="34"/>
        <v>90</v>
      </c>
      <c r="N107" s="30" t="str">
        <f>IF(OR($F107="Partial",$F107="No"),IF(Facility_Profile!$B$7="","",Facility_Profile!$B$7+$M107),"")</f>
        <v/>
      </c>
      <c r="O107" s="28" t="str">
        <f t="shared" si="33"/>
        <v>Missing response</v>
      </c>
      <c r="P107" s="28" t="str">
        <f>IF(OR($F107="Partial",$F107="No"),COUNTIF($F$3:$F107,"Partial")+COUNTIF($F$3:$F107,"No"),"")</f>
        <v/>
      </c>
      <c r="Q107" s="55" t="str">
        <f t="shared" si="35"/>
        <v/>
      </c>
    </row>
    <row r="108" spans="1:17" ht="48" customHeight="1">
      <c r="A108" s="13">
        <v>10</v>
      </c>
      <c r="B108" s="13" t="s">
        <v>241</v>
      </c>
      <c r="C108" s="13" t="s">
        <v>446</v>
      </c>
      <c r="D108" s="13" t="s">
        <v>141</v>
      </c>
      <c r="E108" s="13" t="s">
        <v>447</v>
      </c>
      <c r="F108" s="27"/>
      <c r="G108" s="27"/>
      <c r="H108" s="27"/>
      <c r="I108" s="29"/>
      <c r="J108" s="28" t="str">
        <f t="shared" si="30"/>
        <v/>
      </c>
      <c r="K108" s="28">
        <f t="shared" si="31"/>
        <v>0</v>
      </c>
      <c r="L108" s="28" t="str">
        <f t="shared" si="32"/>
        <v/>
      </c>
      <c r="M108" s="28">
        <f t="shared" si="34"/>
        <v>90</v>
      </c>
      <c r="N108" s="30" t="str">
        <f>IF(OR($F108="Partial",$F108="No"),IF(Facility_Profile!$B$7="","",Facility_Profile!$B$7+$M108),"")</f>
        <v/>
      </c>
      <c r="O108" s="28" t="str">
        <f t="shared" si="33"/>
        <v>Missing response</v>
      </c>
      <c r="P108" s="28" t="str">
        <f>IF(OR($F108="Partial",$F108="No"),COUNTIF($F$3:$F108,"Partial")+COUNTIF($F$3:$F108,"No"),"")</f>
        <v/>
      </c>
      <c r="Q108" s="55" t="str">
        <f t="shared" si="35"/>
        <v/>
      </c>
    </row>
    <row r="109" spans="1:17" ht="48" customHeight="1">
      <c r="A109" s="13">
        <v>11</v>
      </c>
      <c r="B109" s="13" t="s">
        <v>242</v>
      </c>
      <c r="C109" s="13" t="s">
        <v>448</v>
      </c>
      <c r="D109" s="13" t="s">
        <v>134</v>
      </c>
      <c r="E109" s="13" t="s">
        <v>449</v>
      </c>
      <c r="F109" s="27"/>
      <c r="G109" s="27"/>
      <c r="H109" s="27"/>
      <c r="I109" s="29"/>
      <c r="J109" s="28" t="str">
        <f t="shared" si="30"/>
        <v/>
      </c>
      <c r="K109" s="28">
        <f t="shared" si="31"/>
        <v>0</v>
      </c>
      <c r="L109" s="28" t="str">
        <f t="shared" si="32"/>
        <v/>
      </c>
      <c r="M109" s="28">
        <f t="shared" si="34"/>
        <v>30</v>
      </c>
      <c r="N109" s="30" t="str">
        <f>IF(OR($F109="Partial",$F109="No"),IF(Facility_Profile!$B$7="","",Facility_Profile!$B$7+$M109),"")</f>
        <v/>
      </c>
      <c r="O109" s="28" t="str">
        <f t="shared" si="33"/>
        <v>Missing response</v>
      </c>
      <c r="P109" s="28" t="str">
        <f>IF(OR($F109="Partial",$F109="No"),COUNTIF($F$3:$F109,"Partial")+COUNTIF($F$3:$F109,"No"),"")</f>
        <v/>
      </c>
      <c r="Q109" s="55" t="str">
        <f t="shared" si="35"/>
        <v/>
      </c>
    </row>
    <row r="110" spans="1:17" ht="48" customHeight="1">
      <c r="A110" s="13">
        <v>11</v>
      </c>
      <c r="B110" s="13" t="s">
        <v>242</v>
      </c>
      <c r="C110" s="13" t="s">
        <v>450</v>
      </c>
      <c r="D110" s="13" t="s">
        <v>134</v>
      </c>
      <c r="E110" s="13" t="s">
        <v>451</v>
      </c>
      <c r="F110" s="27"/>
      <c r="G110" s="27"/>
      <c r="H110" s="27"/>
      <c r="I110" s="29"/>
      <c r="J110" s="28" t="str">
        <f t="shared" si="30"/>
        <v/>
      </c>
      <c r="K110" s="28">
        <f t="shared" si="31"/>
        <v>0</v>
      </c>
      <c r="L110" s="28" t="str">
        <f t="shared" si="32"/>
        <v/>
      </c>
      <c r="M110" s="28">
        <f t="shared" si="34"/>
        <v>30</v>
      </c>
      <c r="N110" s="30" t="str">
        <f>IF(OR($F110="Partial",$F110="No"),IF(Facility_Profile!$B$7="","",Facility_Profile!$B$7+$M110),"")</f>
        <v/>
      </c>
      <c r="O110" s="28" t="str">
        <f t="shared" si="33"/>
        <v>Missing response</v>
      </c>
      <c r="P110" s="28" t="str">
        <f>IF(OR($F110="Partial",$F110="No"),COUNTIF($F$3:$F110,"Partial")+COUNTIF($F$3:$F110,"No"),"")</f>
        <v/>
      </c>
      <c r="Q110" s="55" t="str">
        <f t="shared" si="35"/>
        <v/>
      </c>
    </row>
    <row r="111" spans="1:17" ht="48" customHeight="1">
      <c r="A111" s="13">
        <v>11</v>
      </c>
      <c r="B111" s="13" t="s">
        <v>242</v>
      </c>
      <c r="C111" s="13" t="s">
        <v>452</v>
      </c>
      <c r="D111" s="13" t="s">
        <v>141</v>
      </c>
      <c r="E111" s="13" t="s">
        <v>453</v>
      </c>
      <c r="F111" s="27"/>
      <c r="G111" s="27"/>
      <c r="H111" s="27"/>
      <c r="I111" s="29"/>
      <c r="J111" s="28" t="str">
        <f t="shared" si="30"/>
        <v/>
      </c>
      <c r="K111" s="28">
        <f t="shared" si="31"/>
        <v>0</v>
      </c>
      <c r="L111" s="28" t="str">
        <f t="shared" si="32"/>
        <v/>
      </c>
      <c r="M111" s="28">
        <f t="shared" si="34"/>
        <v>90</v>
      </c>
      <c r="N111" s="30" t="str">
        <f>IF(OR($F111="Partial",$F111="No"),IF(Facility_Profile!$B$7="","",Facility_Profile!$B$7+$M111),"")</f>
        <v/>
      </c>
      <c r="O111" s="28" t="str">
        <f t="shared" si="33"/>
        <v>Missing response</v>
      </c>
      <c r="P111" s="28" t="str">
        <f>IF(OR($F111="Partial",$F111="No"),COUNTIF($F$3:$F111,"Partial")+COUNTIF($F$3:$F111,"No"),"")</f>
        <v/>
      </c>
      <c r="Q111" s="55" t="str">
        <f t="shared" si="35"/>
        <v/>
      </c>
    </row>
    <row r="112" spans="1:17" ht="48" customHeight="1">
      <c r="A112" s="13">
        <v>11</v>
      </c>
      <c r="B112" s="13" t="s">
        <v>242</v>
      </c>
      <c r="C112" s="13" t="s">
        <v>454</v>
      </c>
      <c r="D112" s="13" t="s">
        <v>141</v>
      </c>
      <c r="E112" s="13" t="s">
        <v>455</v>
      </c>
      <c r="F112" s="27"/>
      <c r="G112" s="27"/>
      <c r="H112" s="27"/>
      <c r="I112" s="29"/>
      <c r="J112" s="28" t="str">
        <f t="shared" si="30"/>
        <v/>
      </c>
      <c r="K112" s="28">
        <f t="shared" si="31"/>
        <v>0</v>
      </c>
      <c r="L112" s="28" t="str">
        <f t="shared" si="32"/>
        <v/>
      </c>
      <c r="M112" s="28">
        <f t="shared" si="34"/>
        <v>90</v>
      </c>
      <c r="N112" s="30" t="str">
        <f>IF(OR($F112="Partial",$F112="No"),IF(Facility_Profile!$B$7="","",Facility_Profile!$B$7+$M112),"")</f>
        <v/>
      </c>
      <c r="O112" s="28" t="str">
        <f t="shared" si="33"/>
        <v>Missing response</v>
      </c>
      <c r="P112" s="28" t="str">
        <f>IF(OR($F112="Partial",$F112="No"),COUNTIF($F$3:$F112,"Partial")+COUNTIF($F$3:$F112,"No"),"")</f>
        <v/>
      </c>
      <c r="Q112" s="55" t="str">
        <f t="shared" si="35"/>
        <v/>
      </c>
    </row>
    <row r="113" spans="1:17" ht="48" customHeight="1">
      <c r="A113" s="13">
        <v>11</v>
      </c>
      <c r="B113" s="13" t="s">
        <v>242</v>
      </c>
      <c r="C113" s="13" t="s">
        <v>456</v>
      </c>
      <c r="D113" s="13" t="s">
        <v>141</v>
      </c>
      <c r="E113" s="13" t="s">
        <v>457</v>
      </c>
      <c r="F113" s="27"/>
      <c r="G113" s="27"/>
      <c r="H113" s="27"/>
      <c r="I113" s="29"/>
      <c r="J113" s="28" t="str">
        <f t="shared" si="30"/>
        <v/>
      </c>
      <c r="K113" s="28">
        <f t="shared" si="31"/>
        <v>0</v>
      </c>
      <c r="L113" s="28" t="str">
        <f t="shared" si="32"/>
        <v/>
      </c>
      <c r="M113" s="28">
        <f t="shared" si="34"/>
        <v>90</v>
      </c>
      <c r="N113" s="30" t="str">
        <f>IF(OR($F113="Partial",$F113="No"),IF(Facility_Profile!$B$7="","",Facility_Profile!$B$7+$M113),"")</f>
        <v/>
      </c>
      <c r="O113" s="28" t="str">
        <f t="shared" si="33"/>
        <v>Missing response</v>
      </c>
      <c r="P113" s="28" t="str">
        <f>IF(OR($F113="Partial",$F113="No"),COUNTIF($F$3:$F113,"Partial")+COUNTIF($F$3:$F113,"No"),"")</f>
        <v/>
      </c>
      <c r="Q113" s="55" t="str">
        <f t="shared" si="35"/>
        <v/>
      </c>
    </row>
    <row r="114" spans="1:17" ht="28.5">
      <c r="A114" s="2">
        <v>11</v>
      </c>
      <c r="B114" s="2" t="s">
        <v>242</v>
      </c>
      <c r="C114" s="2" t="s">
        <v>458</v>
      </c>
      <c r="D114" s="2" t="s">
        <v>141</v>
      </c>
      <c r="E114" s="2" t="s">
        <v>459</v>
      </c>
      <c r="F114" s="2"/>
      <c r="G114" s="2"/>
      <c r="H114" s="2"/>
      <c r="I114" s="54"/>
      <c r="J114" s="2" t="str">
        <f t="shared" si="30"/>
        <v/>
      </c>
      <c r="K114" s="2">
        <f t="shared" si="31"/>
        <v>0</v>
      </c>
      <c r="L114" s="2" t="str">
        <f t="shared" si="32"/>
        <v/>
      </c>
      <c r="M114" s="2">
        <f t="shared" si="34"/>
        <v>90</v>
      </c>
      <c r="N114" s="54" t="str">
        <f>IF(OR($F114="Partial",$F114="No"),IF(Facility_Profile!$B$7="","",Facility_Profile!$B$7+$M114),"")</f>
        <v/>
      </c>
      <c r="O114" s="2" t="str">
        <f t="shared" si="33"/>
        <v>Missing response</v>
      </c>
      <c r="P114" s="2" t="str">
        <f>IF(OR($F114="Partial",$F114="No"),COUNTIF($F$3:$F114,"Partial")+COUNTIF($F$3:$F114,"No"),"")</f>
        <v/>
      </c>
      <c r="Q114" s="6" t="str">
        <f t="shared" si="35"/>
        <v/>
      </c>
    </row>
    <row r="115" spans="1:17" ht="28.5">
      <c r="A115" s="2">
        <v>12</v>
      </c>
      <c r="B115" s="2" t="s">
        <v>243</v>
      </c>
      <c r="C115" s="2" t="s">
        <v>460</v>
      </c>
      <c r="D115" s="2" t="s">
        <v>134</v>
      </c>
      <c r="E115" s="2" t="s">
        <v>461</v>
      </c>
      <c r="F115" s="2"/>
      <c r="G115" s="2"/>
      <c r="H115" s="2"/>
      <c r="I115" s="54"/>
      <c r="J115" s="2" t="str">
        <f t="shared" si="30"/>
        <v/>
      </c>
      <c r="K115" s="2">
        <f t="shared" si="31"/>
        <v>0</v>
      </c>
      <c r="L115" s="2" t="str">
        <f t="shared" si="32"/>
        <v/>
      </c>
      <c r="M115" s="2">
        <f t="shared" si="34"/>
        <v>30</v>
      </c>
      <c r="N115" s="54" t="str">
        <f>IF(OR($F115="Partial",$F115="No"),IF(Facility_Profile!$B$7="","",Facility_Profile!$B$7+$M115),"")</f>
        <v/>
      </c>
      <c r="O115" s="2" t="str">
        <f t="shared" si="33"/>
        <v>Missing response</v>
      </c>
      <c r="P115" s="2" t="str">
        <f>IF(OR($F115="Partial",$F115="No"),COUNTIF($F$3:$F115,"Partial")+COUNTIF($F$3:$F115,"No"),"")</f>
        <v/>
      </c>
      <c r="Q115" s="6" t="str">
        <f t="shared" si="35"/>
        <v/>
      </c>
    </row>
    <row r="116" spans="1:17" ht="28.5">
      <c r="A116" s="2">
        <v>12</v>
      </c>
      <c r="B116" s="2" t="s">
        <v>243</v>
      </c>
      <c r="C116" s="2" t="s">
        <v>462</v>
      </c>
      <c r="D116" s="2" t="s">
        <v>134</v>
      </c>
      <c r="E116" s="2" t="s">
        <v>463</v>
      </c>
      <c r="F116" s="2"/>
      <c r="G116" s="2"/>
      <c r="H116" s="2"/>
      <c r="I116" s="54"/>
      <c r="J116" s="2" t="str">
        <f t="shared" ref="J116:J149" si="36">IF($F116="Yes",1,IF(OR($F116="Partial",$F116="No"),0,""))</f>
        <v/>
      </c>
      <c r="K116" s="2">
        <f t="shared" ref="K116:K149" si="37">IF(OR($F116="Yes",$F116="Partial",$F116="No"),1,0)</f>
        <v>0</v>
      </c>
      <c r="L116" s="2" t="str">
        <f t="shared" ref="L116:L149" si="38">IF(AND($D116="P1",OR($F116="Partial",$F116="No")),"P1 gap",IF(OR($F116="Partial",$F116="No"),"Gap",""))</f>
        <v/>
      </c>
      <c r="M116" s="2">
        <f t="shared" si="34"/>
        <v>30</v>
      </c>
      <c r="N116" s="54" t="str">
        <f>IF(OR($F116="Partial",$F116="No"),IF(Facility_Profile!$B$7="","",Facility_Profile!$B$7+$M116),"")</f>
        <v/>
      </c>
      <c r="O116" s="2" t="str">
        <f t="shared" ref="O116:O149" si="39">IF($F116="","Missing response",IF(OR($F116="Yes",$F116="Partial",$F116="No",$F116="N/A"),"OK","Check response"))</f>
        <v>Missing response</v>
      </c>
      <c r="P116" s="2" t="str">
        <f>IF(OR($F116="Partial",$F116="No"),COUNTIF($F$3:$F116,"Partial")+COUNTIF($F$3:$F116,"No"),"")</f>
        <v/>
      </c>
      <c r="Q116" s="6" t="str">
        <f t="shared" si="35"/>
        <v/>
      </c>
    </row>
    <row r="117" spans="1:17" ht="28.5">
      <c r="A117" s="2">
        <v>12</v>
      </c>
      <c r="B117" s="2" t="s">
        <v>243</v>
      </c>
      <c r="C117" s="2" t="s">
        <v>464</v>
      </c>
      <c r="D117" s="2" t="s">
        <v>134</v>
      </c>
      <c r="E117" s="2" t="s">
        <v>465</v>
      </c>
      <c r="F117" s="2"/>
      <c r="G117" s="2"/>
      <c r="H117" s="2"/>
      <c r="I117" s="54"/>
      <c r="J117" s="2" t="str">
        <f t="shared" si="36"/>
        <v/>
      </c>
      <c r="K117" s="2">
        <f t="shared" si="37"/>
        <v>0</v>
      </c>
      <c r="L117" s="2" t="str">
        <f t="shared" si="38"/>
        <v/>
      </c>
      <c r="M117" s="2">
        <f t="shared" si="34"/>
        <v>30</v>
      </c>
      <c r="N117" s="54" t="str">
        <f>IF(OR($F117="Partial",$F117="No"),IF(Facility_Profile!$B$7="","",Facility_Profile!$B$7+$M117),"")</f>
        <v/>
      </c>
      <c r="O117" s="2" t="str">
        <f t="shared" si="39"/>
        <v>Missing response</v>
      </c>
      <c r="P117" s="2" t="str">
        <f>IF(OR($F117="Partial",$F117="No"),COUNTIF($F$3:$F117,"Partial")+COUNTIF($F$3:$F117,"No"),"")</f>
        <v/>
      </c>
      <c r="Q117" s="6" t="str">
        <f t="shared" si="35"/>
        <v/>
      </c>
    </row>
    <row r="118" spans="1:17" ht="28.5">
      <c r="A118" s="2">
        <v>12</v>
      </c>
      <c r="B118" s="2" t="s">
        <v>243</v>
      </c>
      <c r="C118" s="2" t="s">
        <v>466</v>
      </c>
      <c r="D118" s="2" t="s">
        <v>141</v>
      </c>
      <c r="E118" s="2" t="s">
        <v>467</v>
      </c>
      <c r="F118" s="2"/>
      <c r="G118" s="2"/>
      <c r="H118" s="2"/>
      <c r="I118" s="54"/>
      <c r="J118" s="2" t="str">
        <f t="shared" si="36"/>
        <v/>
      </c>
      <c r="K118" s="2">
        <f t="shared" si="37"/>
        <v>0</v>
      </c>
      <c r="L118" s="2" t="str">
        <f t="shared" si="38"/>
        <v/>
      </c>
      <c r="M118" s="2">
        <f t="shared" si="34"/>
        <v>90</v>
      </c>
      <c r="N118" s="54" t="str">
        <f>IF(OR($F118="Partial",$F118="No"),IF(Facility_Profile!$B$7="","",Facility_Profile!$B$7+$M118),"")</f>
        <v/>
      </c>
      <c r="O118" s="2" t="str">
        <f t="shared" si="39"/>
        <v>Missing response</v>
      </c>
      <c r="P118" s="2" t="str">
        <f>IF(OR($F118="Partial",$F118="No"),COUNTIF($F$3:$F118,"Partial")+COUNTIF($F$3:$F118,"No"),"")</f>
        <v/>
      </c>
      <c r="Q118" s="6" t="str">
        <f t="shared" si="35"/>
        <v/>
      </c>
    </row>
    <row r="119" spans="1:17" ht="28.5">
      <c r="A119" s="2">
        <v>12</v>
      </c>
      <c r="B119" s="2" t="s">
        <v>243</v>
      </c>
      <c r="C119" s="2" t="s">
        <v>468</v>
      </c>
      <c r="D119" s="2" t="s">
        <v>141</v>
      </c>
      <c r="E119" s="2" t="s">
        <v>469</v>
      </c>
      <c r="F119" s="2"/>
      <c r="G119" s="2"/>
      <c r="H119" s="2"/>
      <c r="I119" s="54"/>
      <c r="J119" s="2" t="str">
        <f t="shared" si="36"/>
        <v/>
      </c>
      <c r="K119" s="2">
        <f t="shared" si="37"/>
        <v>0</v>
      </c>
      <c r="L119" s="2" t="str">
        <f t="shared" si="38"/>
        <v/>
      </c>
      <c r="M119" s="2">
        <f t="shared" si="34"/>
        <v>90</v>
      </c>
      <c r="N119" s="54" t="str">
        <f>IF(OR($F119="Partial",$F119="No"),IF(Facility_Profile!$B$7="","",Facility_Profile!$B$7+$M119),"")</f>
        <v/>
      </c>
      <c r="O119" s="2" t="str">
        <f t="shared" si="39"/>
        <v>Missing response</v>
      </c>
      <c r="P119" s="2" t="str">
        <f>IF(OR($F119="Partial",$F119="No"),COUNTIF($F$3:$F119,"Partial")+COUNTIF($F$3:$F119,"No"),"")</f>
        <v/>
      </c>
      <c r="Q119" s="6" t="str">
        <f t="shared" si="35"/>
        <v/>
      </c>
    </row>
    <row r="120" spans="1:17" ht="28.5">
      <c r="A120" s="2">
        <v>12</v>
      </c>
      <c r="B120" s="2" t="s">
        <v>243</v>
      </c>
      <c r="C120" s="2" t="s">
        <v>470</v>
      </c>
      <c r="D120" s="2" t="s">
        <v>141</v>
      </c>
      <c r="E120" s="2" t="s">
        <v>471</v>
      </c>
      <c r="F120" s="2"/>
      <c r="G120" s="2"/>
      <c r="H120" s="2"/>
      <c r="I120" s="54"/>
      <c r="J120" s="2" t="str">
        <f t="shared" si="36"/>
        <v/>
      </c>
      <c r="K120" s="2">
        <f t="shared" si="37"/>
        <v>0</v>
      </c>
      <c r="L120" s="2" t="str">
        <f t="shared" si="38"/>
        <v/>
      </c>
      <c r="M120" s="2">
        <f t="shared" si="34"/>
        <v>90</v>
      </c>
      <c r="N120" s="54" t="str">
        <f>IF(OR($F120="Partial",$F120="No"),IF(Facility_Profile!$B$7="","",Facility_Profile!$B$7+$M120),"")</f>
        <v/>
      </c>
      <c r="O120" s="2" t="str">
        <f t="shared" si="39"/>
        <v>Missing response</v>
      </c>
      <c r="P120" s="2" t="str">
        <f>IF(OR($F120="Partial",$F120="No"),COUNTIF($F$3:$F120,"Partial")+COUNTIF($F$3:$F120,"No"),"")</f>
        <v/>
      </c>
      <c r="Q120" s="6" t="str">
        <f t="shared" si="35"/>
        <v/>
      </c>
    </row>
    <row r="121" spans="1:17" ht="28.5">
      <c r="A121" s="2">
        <v>12</v>
      </c>
      <c r="B121" s="2" t="s">
        <v>243</v>
      </c>
      <c r="C121" s="2" t="s">
        <v>472</v>
      </c>
      <c r="D121" s="2" t="s">
        <v>141</v>
      </c>
      <c r="E121" s="2" t="s">
        <v>473</v>
      </c>
      <c r="F121" s="2"/>
      <c r="G121" s="2"/>
      <c r="H121" s="2"/>
      <c r="I121" s="54"/>
      <c r="J121" s="2" t="str">
        <f t="shared" si="36"/>
        <v/>
      </c>
      <c r="K121" s="2">
        <f t="shared" si="37"/>
        <v>0</v>
      </c>
      <c r="L121" s="2" t="str">
        <f t="shared" si="38"/>
        <v/>
      </c>
      <c r="M121" s="2">
        <f t="shared" si="34"/>
        <v>90</v>
      </c>
      <c r="N121" s="54" t="str">
        <f>IF(OR($F121="Partial",$F121="No"),IF(Facility_Profile!$B$7="","",Facility_Profile!$B$7+$M121),"")</f>
        <v/>
      </c>
      <c r="O121" s="2" t="str">
        <f t="shared" si="39"/>
        <v>Missing response</v>
      </c>
      <c r="P121" s="2" t="str">
        <f>IF(OR($F121="Partial",$F121="No"),COUNTIF($F$3:$F121,"Partial")+COUNTIF($F$3:$F121,"No"),"")</f>
        <v/>
      </c>
      <c r="Q121" s="6" t="str">
        <f t="shared" si="35"/>
        <v/>
      </c>
    </row>
    <row r="122" spans="1:17" ht="28.5">
      <c r="A122" s="2">
        <v>13</v>
      </c>
      <c r="B122" s="2" t="s">
        <v>244</v>
      </c>
      <c r="C122" s="2" t="s">
        <v>474</v>
      </c>
      <c r="D122" s="2" t="s">
        <v>134</v>
      </c>
      <c r="E122" s="2" t="s">
        <v>475</v>
      </c>
      <c r="F122" s="2"/>
      <c r="G122" s="2"/>
      <c r="H122" s="2"/>
      <c r="I122" s="54"/>
      <c r="J122" s="2" t="str">
        <f t="shared" si="36"/>
        <v/>
      </c>
      <c r="K122" s="2">
        <f t="shared" si="37"/>
        <v>0</v>
      </c>
      <c r="L122" s="2" t="str">
        <f t="shared" si="38"/>
        <v/>
      </c>
      <c r="M122" s="2">
        <f t="shared" si="34"/>
        <v>30</v>
      </c>
      <c r="N122" s="54" t="str">
        <f>IF(OR($F122="Partial",$F122="No"),IF(Facility_Profile!$B$7="","",Facility_Profile!$B$7+$M122),"")</f>
        <v/>
      </c>
      <c r="O122" s="2" t="str">
        <f t="shared" si="39"/>
        <v>Missing response</v>
      </c>
      <c r="P122" s="2" t="str">
        <f>IF(OR($F122="Partial",$F122="No"),COUNTIF($F$3:$F122,"Partial")+COUNTIF($F$3:$F122,"No"),"")</f>
        <v/>
      </c>
      <c r="Q122" s="6" t="str">
        <f t="shared" si="35"/>
        <v/>
      </c>
    </row>
    <row r="123" spans="1:17" ht="28.5">
      <c r="A123" s="2">
        <v>13</v>
      </c>
      <c r="B123" s="2" t="s">
        <v>244</v>
      </c>
      <c r="C123" s="2" t="s">
        <v>476</v>
      </c>
      <c r="D123" s="2" t="s">
        <v>134</v>
      </c>
      <c r="E123" s="2" t="s">
        <v>477</v>
      </c>
      <c r="F123" s="2"/>
      <c r="G123" s="2"/>
      <c r="H123" s="2"/>
      <c r="I123" s="54"/>
      <c r="J123" s="2" t="str">
        <f t="shared" si="36"/>
        <v/>
      </c>
      <c r="K123" s="2">
        <f t="shared" si="37"/>
        <v>0</v>
      </c>
      <c r="L123" s="2" t="str">
        <f t="shared" si="38"/>
        <v/>
      </c>
      <c r="M123" s="2">
        <f t="shared" si="34"/>
        <v>30</v>
      </c>
      <c r="N123" s="54" t="str">
        <f>IF(OR($F123="Partial",$F123="No"),IF(Facility_Profile!$B$7="","",Facility_Profile!$B$7+$M123),"")</f>
        <v/>
      </c>
      <c r="O123" s="2" t="str">
        <f t="shared" si="39"/>
        <v>Missing response</v>
      </c>
      <c r="P123" s="2" t="str">
        <f>IF(OR($F123="Partial",$F123="No"),COUNTIF($F$3:$F123,"Partial")+COUNTIF($F$3:$F123,"No"),"")</f>
        <v/>
      </c>
      <c r="Q123" s="6" t="str">
        <f t="shared" si="35"/>
        <v/>
      </c>
    </row>
    <row r="124" spans="1:17" ht="42.75">
      <c r="A124" s="2">
        <v>13</v>
      </c>
      <c r="B124" s="2" t="s">
        <v>244</v>
      </c>
      <c r="C124" s="2" t="s">
        <v>478</v>
      </c>
      <c r="D124" s="2" t="s">
        <v>134</v>
      </c>
      <c r="E124" s="2" t="s">
        <v>479</v>
      </c>
      <c r="F124" s="2"/>
      <c r="G124" s="2"/>
      <c r="H124" s="2"/>
      <c r="I124" s="54"/>
      <c r="J124" s="2" t="str">
        <f t="shared" si="36"/>
        <v/>
      </c>
      <c r="K124" s="2">
        <f t="shared" si="37"/>
        <v>0</v>
      </c>
      <c r="L124" s="2" t="str">
        <f t="shared" si="38"/>
        <v/>
      </c>
      <c r="M124" s="2">
        <f t="shared" si="34"/>
        <v>30</v>
      </c>
      <c r="N124" s="54" t="str">
        <f>IF(OR($F124="Partial",$F124="No"),IF(Facility_Profile!$B$7="","",Facility_Profile!$B$7+$M124),"")</f>
        <v/>
      </c>
      <c r="O124" s="2" t="str">
        <f t="shared" si="39"/>
        <v>Missing response</v>
      </c>
      <c r="P124" s="2" t="str">
        <f>IF(OR($F124="Partial",$F124="No"),COUNTIF($F$3:$F124,"Partial")+COUNTIF($F$3:$F124,"No"),"")</f>
        <v/>
      </c>
      <c r="Q124" s="6" t="str">
        <f t="shared" si="35"/>
        <v/>
      </c>
    </row>
    <row r="125" spans="1:17" ht="28.5">
      <c r="A125" s="2">
        <v>13</v>
      </c>
      <c r="B125" s="2" t="s">
        <v>244</v>
      </c>
      <c r="C125" s="2" t="s">
        <v>480</v>
      </c>
      <c r="D125" s="2" t="s">
        <v>141</v>
      </c>
      <c r="E125" s="2" t="s">
        <v>481</v>
      </c>
      <c r="F125" s="2"/>
      <c r="G125" s="2"/>
      <c r="H125" s="2"/>
      <c r="I125" s="54"/>
      <c r="J125" s="2" t="str">
        <f t="shared" si="36"/>
        <v/>
      </c>
      <c r="K125" s="2">
        <f t="shared" si="37"/>
        <v>0</v>
      </c>
      <c r="L125" s="2" t="str">
        <f t="shared" si="38"/>
        <v/>
      </c>
      <c r="M125" s="2">
        <f t="shared" si="34"/>
        <v>90</v>
      </c>
      <c r="N125" s="54" t="str">
        <f>IF(OR($F125="Partial",$F125="No"),IF(Facility_Profile!$B$7="","",Facility_Profile!$B$7+$M125),"")</f>
        <v/>
      </c>
      <c r="O125" s="2" t="str">
        <f t="shared" si="39"/>
        <v>Missing response</v>
      </c>
      <c r="P125" s="2" t="str">
        <f>IF(OR($F125="Partial",$F125="No"),COUNTIF($F$3:$F125,"Partial")+COUNTIF($F$3:$F125,"No"),"")</f>
        <v/>
      </c>
      <c r="Q125" s="6" t="str">
        <f t="shared" si="35"/>
        <v/>
      </c>
    </row>
    <row r="126" spans="1:17" ht="28.5">
      <c r="A126" s="2">
        <v>13</v>
      </c>
      <c r="B126" s="2" t="s">
        <v>244</v>
      </c>
      <c r="C126" s="2" t="s">
        <v>482</v>
      </c>
      <c r="D126" s="2" t="s">
        <v>141</v>
      </c>
      <c r="E126" s="2" t="s">
        <v>483</v>
      </c>
      <c r="F126" s="2"/>
      <c r="G126" s="2"/>
      <c r="H126" s="2"/>
      <c r="I126" s="54"/>
      <c r="J126" s="2" t="str">
        <f t="shared" si="36"/>
        <v/>
      </c>
      <c r="K126" s="2">
        <f t="shared" si="37"/>
        <v>0</v>
      </c>
      <c r="L126" s="2" t="str">
        <f t="shared" si="38"/>
        <v/>
      </c>
      <c r="M126" s="2">
        <f t="shared" si="34"/>
        <v>90</v>
      </c>
      <c r="N126" s="54" t="str">
        <f>IF(OR($F126="Partial",$F126="No"),IF(Facility_Profile!$B$7="","",Facility_Profile!$B$7+$M126),"")</f>
        <v/>
      </c>
      <c r="O126" s="2" t="str">
        <f t="shared" si="39"/>
        <v>Missing response</v>
      </c>
      <c r="P126" s="2" t="str">
        <f>IF(OR($F126="Partial",$F126="No"),COUNTIF($F$3:$F126,"Partial")+COUNTIF($F$3:$F126,"No"),"")</f>
        <v/>
      </c>
      <c r="Q126" s="6" t="str">
        <f t="shared" si="35"/>
        <v/>
      </c>
    </row>
    <row r="127" spans="1:17" ht="42.75">
      <c r="A127" s="2">
        <v>13</v>
      </c>
      <c r="B127" s="2" t="s">
        <v>244</v>
      </c>
      <c r="C127" s="2" t="s">
        <v>484</v>
      </c>
      <c r="D127" s="2" t="s">
        <v>141</v>
      </c>
      <c r="E127" s="2" t="s">
        <v>485</v>
      </c>
      <c r="F127" s="2"/>
      <c r="G127" s="2"/>
      <c r="H127" s="2"/>
      <c r="I127" s="54"/>
      <c r="J127" s="2" t="str">
        <f t="shared" si="36"/>
        <v/>
      </c>
      <c r="K127" s="2">
        <f t="shared" si="37"/>
        <v>0</v>
      </c>
      <c r="L127" s="2" t="str">
        <f t="shared" si="38"/>
        <v/>
      </c>
      <c r="M127" s="2">
        <f t="shared" si="34"/>
        <v>90</v>
      </c>
      <c r="N127" s="54" t="str">
        <f>IF(OR($F127="Partial",$F127="No"),IF(Facility_Profile!$B$7="","",Facility_Profile!$B$7+$M127),"")</f>
        <v/>
      </c>
      <c r="O127" s="2" t="str">
        <f t="shared" si="39"/>
        <v>Missing response</v>
      </c>
      <c r="P127" s="2" t="str">
        <f>IF(OR($F127="Partial",$F127="No"),COUNTIF($F$3:$F127,"Partial")+COUNTIF($F$3:$F127,"No"),"")</f>
        <v/>
      </c>
      <c r="Q127" s="6" t="str">
        <f t="shared" si="35"/>
        <v/>
      </c>
    </row>
    <row r="128" spans="1:17" ht="28.5">
      <c r="A128" s="2">
        <v>13</v>
      </c>
      <c r="B128" s="2" t="s">
        <v>244</v>
      </c>
      <c r="C128" s="2" t="s">
        <v>486</v>
      </c>
      <c r="D128" s="2" t="s">
        <v>141</v>
      </c>
      <c r="E128" s="2" t="s">
        <v>487</v>
      </c>
      <c r="F128" s="2"/>
      <c r="G128" s="2"/>
      <c r="H128" s="2"/>
      <c r="I128" s="54"/>
      <c r="J128" s="2" t="str">
        <f t="shared" si="36"/>
        <v/>
      </c>
      <c r="K128" s="2">
        <f t="shared" si="37"/>
        <v>0</v>
      </c>
      <c r="L128" s="2" t="str">
        <f t="shared" si="38"/>
        <v/>
      </c>
      <c r="M128" s="2">
        <f t="shared" si="34"/>
        <v>90</v>
      </c>
      <c r="N128" s="54" t="str">
        <f>IF(OR($F128="Partial",$F128="No"),IF(Facility_Profile!$B$7="","",Facility_Profile!$B$7+$M128),"")</f>
        <v/>
      </c>
      <c r="O128" s="2" t="str">
        <f t="shared" si="39"/>
        <v>Missing response</v>
      </c>
      <c r="P128" s="2" t="str">
        <f>IF(OR($F128="Partial",$F128="No"),COUNTIF($F$3:$F128,"Partial")+COUNTIF($F$3:$F128,"No"),"")</f>
        <v/>
      </c>
      <c r="Q128" s="6" t="str">
        <f t="shared" si="35"/>
        <v/>
      </c>
    </row>
    <row r="129" spans="1:17" ht="28.5">
      <c r="A129" s="2">
        <v>14</v>
      </c>
      <c r="B129" s="2" t="s">
        <v>245</v>
      </c>
      <c r="C129" s="2" t="s">
        <v>488</v>
      </c>
      <c r="D129" s="2" t="s">
        <v>134</v>
      </c>
      <c r="E129" s="2" t="s">
        <v>489</v>
      </c>
      <c r="F129" s="2"/>
      <c r="G129" s="2"/>
      <c r="H129" s="2"/>
      <c r="I129" s="54"/>
      <c r="J129" s="2" t="str">
        <f t="shared" si="36"/>
        <v/>
      </c>
      <c r="K129" s="2">
        <f t="shared" si="37"/>
        <v>0</v>
      </c>
      <c r="L129" s="2" t="str">
        <f t="shared" si="38"/>
        <v/>
      </c>
      <c r="M129" s="2">
        <f t="shared" si="34"/>
        <v>30</v>
      </c>
      <c r="N129" s="54" t="str">
        <f>IF(OR($F129="Partial",$F129="No"),IF(Facility_Profile!$B$7="","",Facility_Profile!$B$7+$M129),"")</f>
        <v/>
      </c>
      <c r="O129" s="2" t="str">
        <f t="shared" si="39"/>
        <v>Missing response</v>
      </c>
      <c r="P129" s="2" t="str">
        <f>IF(OR($F129="Partial",$F129="No"),COUNTIF($F$3:$F129,"Partial")+COUNTIF($F$3:$F129,"No"),"")</f>
        <v/>
      </c>
      <c r="Q129" s="6" t="str">
        <f t="shared" si="35"/>
        <v/>
      </c>
    </row>
    <row r="130" spans="1:17" ht="28.5">
      <c r="A130" s="2">
        <v>14</v>
      </c>
      <c r="B130" s="2" t="s">
        <v>245</v>
      </c>
      <c r="C130" s="2" t="s">
        <v>490</v>
      </c>
      <c r="D130" s="2" t="s">
        <v>134</v>
      </c>
      <c r="E130" s="2" t="s">
        <v>491</v>
      </c>
      <c r="F130" s="2"/>
      <c r="G130" s="2"/>
      <c r="H130" s="2"/>
      <c r="I130" s="54"/>
      <c r="J130" s="2" t="str">
        <f t="shared" si="36"/>
        <v/>
      </c>
      <c r="K130" s="2">
        <f t="shared" si="37"/>
        <v>0</v>
      </c>
      <c r="L130" s="2" t="str">
        <f t="shared" si="38"/>
        <v/>
      </c>
      <c r="M130" s="2">
        <f t="shared" si="34"/>
        <v>30</v>
      </c>
      <c r="N130" s="54" t="str">
        <f>IF(OR($F130="Partial",$F130="No"),IF(Facility_Profile!$B$7="","",Facility_Profile!$B$7+$M130),"")</f>
        <v/>
      </c>
      <c r="O130" s="2" t="str">
        <f t="shared" si="39"/>
        <v>Missing response</v>
      </c>
      <c r="P130" s="2" t="str">
        <f>IF(OR($F130="Partial",$F130="No"),COUNTIF($F$3:$F130,"Partial")+COUNTIF($F$3:$F130,"No"),"")</f>
        <v/>
      </c>
      <c r="Q130" s="6" t="str">
        <f t="shared" si="35"/>
        <v/>
      </c>
    </row>
    <row r="131" spans="1:17" ht="28.5">
      <c r="A131" s="2">
        <v>14</v>
      </c>
      <c r="B131" s="2" t="s">
        <v>245</v>
      </c>
      <c r="C131" s="2" t="s">
        <v>492</v>
      </c>
      <c r="D131" s="2" t="s">
        <v>134</v>
      </c>
      <c r="E131" s="2" t="s">
        <v>493</v>
      </c>
      <c r="F131" s="2"/>
      <c r="G131" s="2"/>
      <c r="H131" s="2"/>
      <c r="I131" s="54"/>
      <c r="J131" s="2" t="str">
        <f t="shared" si="36"/>
        <v/>
      </c>
      <c r="K131" s="2">
        <f t="shared" si="37"/>
        <v>0</v>
      </c>
      <c r="L131" s="2" t="str">
        <f t="shared" si="38"/>
        <v/>
      </c>
      <c r="M131" s="2">
        <f t="shared" ref="M131:M149" si="40">IF($D131="P1",30,IF($D131="P2",90,IF($D131="P3",180,"")))</f>
        <v>30</v>
      </c>
      <c r="N131" s="54" t="str">
        <f>IF(OR($F131="Partial",$F131="No"),IF(Facility_Profile!$B$7="","",Facility_Profile!$B$7+$M131),"")</f>
        <v/>
      </c>
      <c r="O131" s="2" t="str">
        <f t="shared" si="39"/>
        <v>Missing response</v>
      </c>
      <c r="P131" s="2" t="str">
        <f>IF(OR($F131="Partial",$F131="No"),COUNTIF($F$3:$F131,"Partial")+COUNTIF($F$3:$F131,"No"),"")</f>
        <v/>
      </c>
      <c r="Q131" s="6" t="str">
        <f t="shared" ref="Q131:Q149" si="41">IFERROR($J131/$K131,"")</f>
        <v/>
      </c>
    </row>
    <row r="132" spans="1:17" ht="28.5">
      <c r="A132" s="2">
        <v>14</v>
      </c>
      <c r="B132" s="2" t="s">
        <v>245</v>
      </c>
      <c r="C132" s="2" t="s">
        <v>494</v>
      </c>
      <c r="D132" s="2" t="s">
        <v>141</v>
      </c>
      <c r="E132" s="2" t="s">
        <v>495</v>
      </c>
      <c r="F132" s="2"/>
      <c r="G132" s="2"/>
      <c r="H132" s="2"/>
      <c r="I132" s="54"/>
      <c r="J132" s="2" t="str">
        <f t="shared" si="36"/>
        <v/>
      </c>
      <c r="K132" s="2">
        <f t="shared" si="37"/>
        <v>0</v>
      </c>
      <c r="L132" s="2" t="str">
        <f t="shared" si="38"/>
        <v/>
      </c>
      <c r="M132" s="2">
        <f t="shared" si="40"/>
        <v>90</v>
      </c>
      <c r="N132" s="54" t="str">
        <f>IF(OR($F132="Partial",$F132="No"),IF(Facility_Profile!$B$7="","",Facility_Profile!$B$7+$M132),"")</f>
        <v/>
      </c>
      <c r="O132" s="2" t="str">
        <f t="shared" si="39"/>
        <v>Missing response</v>
      </c>
      <c r="P132" s="2" t="str">
        <f>IF(OR($F132="Partial",$F132="No"),COUNTIF($F$3:$F132,"Partial")+COUNTIF($F$3:$F132,"No"),"")</f>
        <v/>
      </c>
      <c r="Q132" s="6" t="str">
        <f t="shared" si="41"/>
        <v/>
      </c>
    </row>
    <row r="133" spans="1:17" ht="28.5">
      <c r="A133" s="2">
        <v>14</v>
      </c>
      <c r="B133" s="2" t="s">
        <v>245</v>
      </c>
      <c r="C133" s="2" t="s">
        <v>496</v>
      </c>
      <c r="D133" s="2" t="s">
        <v>141</v>
      </c>
      <c r="E133" s="2" t="s">
        <v>497</v>
      </c>
      <c r="F133" s="2"/>
      <c r="G133" s="2"/>
      <c r="H133" s="2"/>
      <c r="I133" s="54"/>
      <c r="J133" s="2" t="str">
        <f t="shared" si="36"/>
        <v/>
      </c>
      <c r="K133" s="2">
        <f t="shared" si="37"/>
        <v>0</v>
      </c>
      <c r="L133" s="2" t="str">
        <f t="shared" si="38"/>
        <v/>
      </c>
      <c r="M133" s="2">
        <f t="shared" si="40"/>
        <v>90</v>
      </c>
      <c r="N133" s="54" t="str">
        <f>IF(OR($F133="Partial",$F133="No"),IF(Facility_Profile!$B$7="","",Facility_Profile!$B$7+$M133),"")</f>
        <v/>
      </c>
      <c r="O133" s="2" t="str">
        <f t="shared" si="39"/>
        <v>Missing response</v>
      </c>
      <c r="P133" s="2" t="str">
        <f>IF(OR($F133="Partial",$F133="No"),COUNTIF($F$3:$F133,"Partial")+COUNTIF($F$3:$F133,"No"),"")</f>
        <v/>
      </c>
      <c r="Q133" s="6" t="str">
        <f t="shared" si="41"/>
        <v/>
      </c>
    </row>
    <row r="134" spans="1:17" ht="28.5">
      <c r="A134" s="2">
        <v>14</v>
      </c>
      <c r="B134" s="2" t="s">
        <v>245</v>
      </c>
      <c r="C134" s="2" t="s">
        <v>498</v>
      </c>
      <c r="D134" s="2" t="s">
        <v>141</v>
      </c>
      <c r="E134" s="2" t="s">
        <v>499</v>
      </c>
      <c r="F134" s="2"/>
      <c r="G134" s="2"/>
      <c r="H134" s="2"/>
      <c r="I134" s="54"/>
      <c r="J134" s="2" t="str">
        <f t="shared" si="36"/>
        <v/>
      </c>
      <c r="K134" s="2">
        <f t="shared" si="37"/>
        <v>0</v>
      </c>
      <c r="L134" s="2" t="str">
        <f t="shared" si="38"/>
        <v/>
      </c>
      <c r="M134" s="2">
        <f t="shared" si="40"/>
        <v>90</v>
      </c>
      <c r="N134" s="54" t="str">
        <f>IF(OR($F134="Partial",$F134="No"),IF(Facility_Profile!$B$7="","",Facility_Profile!$B$7+$M134),"")</f>
        <v/>
      </c>
      <c r="O134" s="2" t="str">
        <f t="shared" si="39"/>
        <v>Missing response</v>
      </c>
      <c r="P134" s="2" t="str">
        <f>IF(OR($F134="Partial",$F134="No"),COUNTIF($F$3:$F134,"Partial")+COUNTIF($F$3:$F134,"No"),"")</f>
        <v/>
      </c>
      <c r="Q134" s="6" t="str">
        <f t="shared" si="41"/>
        <v/>
      </c>
    </row>
    <row r="135" spans="1:17" ht="28.5">
      <c r="A135" s="2">
        <v>14</v>
      </c>
      <c r="B135" s="2" t="s">
        <v>245</v>
      </c>
      <c r="C135" s="2" t="s">
        <v>500</v>
      </c>
      <c r="D135" s="2" t="s">
        <v>141</v>
      </c>
      <c r="E135" s="2" t="s">
        <v>501</v>
      </c>
      <c r="F135" s="2"/>
      <c r="G135" s="2"/>
      <c r="H135" s="2"/>
      <c r="I135" s="54"/>
      <c r="J135" s="2" t="str">
        <f t="shared" si="36"/>
        <v/>
      </c>
      <c r="K135" s="2">
        <f t="shared" si="37"/>
        <v>0</v>
      </c>
      <c r="L135" s="2" t="str">
        <f t="shared" si="38"/>
        <v/>
      </c>
      <c r="M135" s="2">
        <f t="shared" si="40"/>
        <v>90</v>
      </c>
      <c r="N135" s="54" t="str">
        <f>IF(OR($F135="Partial",$F135="No"),IF(Facility_Profile!$B$7="","",Facility_Profile!$B$7+$M135),"")</f>
        <v/>
      </c>
      <c r="O135" s="2" t="str">
        <f t="shared" si="39"/>
        <v>Missing response</v>
      </c>
      <c r="P135" s="2" t="str">
        <f>IF(OR($F135="Partial",$F135="No"),COUNTIF($F$3:$F135,"Partial")+COUNTIF($F$3:$F135,"No"),"")</f>
        <v/>
      </c>
      <c r="Q135" s="6" t="str">
        <f t="shared" si="41"/>
        <v/>
      </c>
    </row>
    <row r="136" spans="1:17" ht="28.5">
      <c r="A136" s="2">
        <v>15</v>
      </c>
      <c r="B136" s="2" t="s">
        <v>246</v>
      </c>
      <c r="C136" s="2" t="s">
        <v>502</v>
      </c>
      <c r="D136" s="2" t="s">
        <v>134</v>
      </c>
      <c r="E136" s="2" t="s">
        <v>503</v>
      </c>
      <c r="F136" s="2"/>
      <c r="G136" s="2"/>
      <c r="H136" s="2"/>
      <c r="I136" s="54"/>
      <c r="J136" s="2" t="str">
        <f t="shared" si="36"/>
        <v/>
      </c>
      <c r="K136" s="2">
        <f t="shared" si="37"/>
        <v>0</v>
      </c>
      <c r="L136" s="2" t="str">
        <f t="shared" si="38"/>
        <v/>
      </c>
      <c r="M136" s="2">
        <f t="shared" si="40"/>
        <v>30</v>
      </c>
      <c r="N136" s="54" t="str">
        <f>IF(OR($F136="Partial",$F136="No"),IF(Facility_Profile!$B$7="","",Facility_Profile!$B$7+$M136),"")</f>
        <v/>
      </c>
      <c r="O136" s="2" t="str">
        <f t="shared" si="39"/>
        <v>Missing response</v>
      </c>
      <c r="P136" s="2" t="str">
        <f>IF(OR($F136="Partial",$F136="No"),COUNTIF($F$3:$F136,"Partial")+COUNTIF($F$3:$F136,"No"),"")</f>
        <v/>
      </c>
      <c r="Q136" s="6" t="str">
        <f t="shared" si="41"/>
        <v/>
      </c>
    </row>
    <row r="137" spans="1:17" ht="42.75">
      <c r="A137" s="2">
        <v>15</v>
      </c>
      <c r="B137" s="2" t="s">
        <v>246</v>
      </c>
      <c r="C137" s="2" t="s">
        <v>504</v>
      </c>
      <c r="D137" s="2" t="s">
        <v>141</v>
      </c>
      <c r="E137" s="2" t="s">
        <v>505</v>
      </c>
      <c r="F137" s="2"/>
      <c r="G137" s="2"/>
      <c r="H137" s="2"/>
      <c r="I137" s="54"/>
      <c r="J137" s="2" t="str">
        <f t="shared" si="36"/>
        <v/>
      </c>
      <c r="K137" s="2">
        <f t="shared" si="37"/>
        <v>0</v>
      </c>
      <c r="L137" s="2" t="str">
        <f t="shared" si="38"/>
        <v/>
      </c>
      <c r="M137" s="2">
        <f t="shared" si="40"/>
        <v>90</v>
      </c>
      <c r="N137" s="54" t="str">
        <f>IF(OR($F137="Partial",$F137="No"),IF(Facility_Profile!$B$7="","",Facility_Profile!$B$7+$M137),"")</f>
        <v/>
      </c>
      <c r="O137" s="2" t="str">
        <f t="shared" si="39"/>
        <v>Missing response</v>
      </c>
      <c r="P137" s="2" t="str">
        <f>IF(OR($F137="Partial",$F137="No"),COUNTIF($F$3:$F137,"Partial")+COUNTIF($F$3:$F137,"No"),"")</f>
        <v/>
      </c>
      <c r="Q137" s="6" t="str">
        <f t="shared" si="41"/>
        <v/>
      </c>
    </row>
    <row r="138" spans="1:17" ht="28.5">
      <c r="A138" s="2">
        <v>15</v>
      </c>
      <c r="B138" s="2" t="s">
        <v>246</v>
      </c>
      <c r="C138" s="2" t="s">
        <v>506</v>
      </c>
      <c r="D138" s="2" t="s">
        <v>141</v>
      </c>
      <c r="E138" s="2" t="s">
        <v>507</v>
      </c>
      <c r="F138" s="2"/>
      <c r="G138" s="2"/>
      <c r="H138" s="2"/>
      <c r="I138" s="54"/>
      <c r="J138" s="2" t="str">
        <f t="shared" si="36"/>
        <v/>
      </c>
      <c r="K138" s="2">
        <f t="shared" si="37"/>
        <v>0</v>
      </c>
      <c r="L138" s="2" t="str">
        <f t="shared" si="38"/>
        <v/>
      </c>
      <c r="M138" s="2">
        <f t="shared" si="40"/>
        <v>90</v>
      </c>
      <c r="N138" s="54" t="str">
        <f>IF(OR($F138="Partial",$F138="No"),IF(Facility_Profile!$B$7="","",Facility_Profile!$B$7+$M138),"")</f>
        <v/>
      </c>
      <c r="O138" s="2" t="str">
        <f t="shared" si="39"/>
        <v>Missing response</v>
      </c>
      <c r="P138" s="2" t="str">
        <f>IF(OR($F138="Partial",$F138="No"),COUNTIF($F$3:$F138,"Partial")+COUNTIF($F$3:$F138,"No"),"")</f>
        <v/>
      </c>
      <c r="Q138" s="6" t="str">
        <f t="shared" si="41"/>
        <v/>
      </c>
    </row>
    <row r="139" spans="1:17" ht="28.5">
      <c r="A139" s="2">
        <v>15</v>
      </c>
      <c r="B139" s="2" t="s">
        <v>246</v>
      </c>
      <c r="C139" s="2" t="s">
        <v>508</v>
      </c>
      <c r="D139" s="2" t="s">
        <v>141</v>
      </c>
      <c r="E139" s="2" t="s">
        <v>509</v>
      </c>
      <c r="F139" s="2"/>
      <c r="G139" s="2"/>
      <c r="H139" s="2"/>
      <c r="I139" s="54"/>
      <c r="J139" s="2" t="str">
        <f t="shared" si="36"/>
        <v/>
      </c>
      <c r="K139" s="2">
        <f t="shared" si="37"/>
        <v>0</v>
      </c>
      <c r="L139" s="2" t="str">
        <f t="shared" si="38"/>
        <v/>
      </c>
      <c r="M139" s="2">
        <f t="shared" si="40"/>
        <v>90</v>
      </c>
      <c r="N139" s="54" t="str">
        <f>IF(OR($F139="Partial",$F139="No"),IF(Facility_Profile!$B$7="","",Facility_Profile!$B$7+$M139),"")</f>
        <v/>
      </c>
      <c r="O139" s="2" t="str">
        <f t="shared" si="39"/>
        <v>Missing response</v>
      </c>
      <c r="P139" s="2" t="str">
        <f>IF(OR($F139="Partial",$F139="No"),COUNTIF($F$3:$F139,"Partial")+COUNTIF($F$3:$F139,"No"),"")</f>
        <v/>
      </c>
      <c r="Q139" s="6" t="str">
        <f t="shared" si="41"/>
        <v/>
      </c>
    </row>
    <row r="140" spans="1:17" ht="28.5">
      <c r="A140" s="2">
        <v>15</v>
      </c>
      <c r="B140" s="2" t="s">
        <v>246</v>
      </c>
      <c r="C140" s="2" t="s">
        <v>510</v>
      </c>
      <c r="D140" s="2" t="s">
        <v>141</v>
      </c>
      <c r="E140" s="2" t="s">
        <v>511</v>
      </c>
      <c r="F140" s="2"/>
      <c r="G140" s="2"/>
      <c r="H140" s="2"/>
      <c r="I140" s="54"/>
      <c r="J140" s="2" t="str">
        <f t="shared" si="36"/>
        <v/>
      </c>
      <c r="K140" s="2">
        <f t="shared" si="37"/>
        <v>0</v>
      </c>
      <c r="L140" s="2" t="str">
        <f t="shared" si="38"/>
        <v/>
      </c>
      <c r="M140" s="2">
        <f t="shared" si="40"/>
        <v>90</v>
      </c>
      <c r="N140" s="54" t="str">
        <f>IF(OR($F140="Partial",$F140="No"),IF(Facility_Profile!$B$7="","",Facility_Profile!$B$7+$M140),"")</f>
        <v/>
      </c>
      <c r="O140" s="2" t="str">
        <f t="shared" si="39"/>
        <v>Missing response</v>
      </c>
      <c r="P140" s="2" t="str">
        <f>IF(OR($F140="Partial",$F140="No"),COUNTIF($F$3:$F140,"Partial")+COUNTIF($F$3:$F140,"No"),"")</f>
        <v/>
      </c>
      <c r="Q140" s="6" t="str">
        <f t="shared" si="41"/>
        <v/>
      </c>
    </row>
    <row r="141" spans="1:17" ht="28.5">
      <c r="A141" s="2">
        <v>15</v>
      </c>
      <c r="B141" s="2" t="s">
        <v>246</v>
      </c>
      <c r="C141" s="2" t="s">
        <v>512</v>
      </c>
      <c r="D141" s="2" t="s">
        <v>148</v>
      </c>
      <c r="E141" s="2" t="s">
        <v>513</v>
      </c>
      <c r="F141" s="2"/>
      <c r="G141" s="2"/>
      <c r="H141" s="2"/>
      <c r="I141" s="54"/>
      <c r="J141" s="2" t="str">
        <f t="shared" si="36"/>
        <v/>
      </c>
      <c r="K141" s="2">
        <f t="shared" si="37"/>
        <v>0</v>
      </c>
      <c r="L141" s="2" t="str">
        <f t="shared" si="38"/>
        <v/>
      </c>
      <c r="M141" s="2">
        <f t="shared" si="40"/>
        <v>180</v>
      </c>
      <c r="N141" s="54" t="str">
        <f>IF(OR($F141="Partial",$F141="No"),IF(Facility_Profile!$B$7="","",Facility_Profile!$B$7+$M141),"")</f>
        <v/>
      </c>
      <c r="O141" s="2" t="str">
        <f t="shared" si="39"/>
        <v>Missing response</v>
      </c>
      <c r="P141" s="2" t="str">
        <f>IF(OR($F141="Partial",$F141="No"),COUNTIF($F$3:$F141,"Partial")+COUNTIF($F$3:$F141,"No"),"")</f>
        <v/>
      </c>
      <c r="Q141" s="6" t="str">
        <f t="shared" si="41"/>
        <v/>
      </c>
    </row>
    <row r="142" spans="1:17" ht="28.5">
      <c r="A142" s="2">
        <v>15</v>
      </c>
      <c r="B142" s="2" t="s">
        <v>246</v>
      </c>
      <c r="C142" s="2" t="s">
        <v>514</v>
      </c>
      <c r="D142" s="2" t="s">
        <v>148</v>
      </c>
      <c r="E142" s="2" t="s">
        <v>515</v>
      </c>
      <c r="F142" s="2"/>
      <c r="G142" s="2"/>
      <c r="H142" s="2"/>
      <c r="I142" s="54"/>
      <c r="J142" s="2" t="str">
        <f t="shared" si="36"/>
        <v/>
      </c>
      <c r="K142" s="2">
        <f t="shared" si="37"/>
        <v>0</v>
      </c>
      <c r="L142" s="2" t="str">
        <f t="shared" si="38"/>
        <v/>
      </c>
      <c r="M142" s="2">
        <f t="shared" si="40"/>
        <v>180</v>
      </c>
      <c r="N142" s="54" t="str">
        <f>IF(OR($F142="Partial",$F142="No"),IF(Facility_Profile!$B$7="","",Facility_Profile!$B$7+$M142),"")</f>
        <v/>
      </c>
      <c r="O142" s="2" t="str">
        <f t="shared" si="39"/>
        <v>Missing response</v>
      </c>
      <c r="P142" s="2" t="str">
        <f>IF(OR($F142="Partial",$F142="No"),COUNTIF($F$3:$F142,"Partial")+COUNTIF($F$3:$F142,"No"),"")</f>
        <v/>
      </c>
      <c r="Q142" s="6" t="str">
        <f t="shared" si="41"/>
        <v/>
      </c>
    </row>
    <row r="143" spans="1:17" ht="28.5">
      <c r="A143" s="2">
        <v>16</v>
      </c>
      <c r="B143" s="2" t="s">
        <v>247</v>
      </c>
      <c r="C143" s="2" t="s">
        <v>516</v>
      </c>
      <c r="D143" s="2" t="s">
        <v>134</v>
      </c>
      <c r="E143" s="2" t="s">
        <v>517</v>
      </c>
      <c r="F143" s="2"/>
      <c r="G143" s="2"/>
      <c r="H143" s="2"/>
      <c r="I143" s="54"/>
      <c r="J143" s="2" t="str">
        <f t="shared" si="36"/>
        <v/>
      </c>
      <c r="K143" s="2">
        <f t="shared" si="37"/>
        <v>0</v>
      </c>
      <c r="L143" s="2" t="str">
        <f t="shared" si="38"/>
        <v/>
      </c>
      <c r="M143" s="2">
        <f t="shared" si="40"/>
        <v>30</v>
      </c>
      <c r="N143" s="54" t="str">
        <f>IF(OR($F143="Partial",$F143="No"),IF(Facility_Profile!$B$7="","",Facility_Profile!$B$7+$M143),"")</f>
        <v/>
      </c>
      <c r="O143" s="2" t="str">
        <f t="shared" si="39"/>
        <v>Missing response</v>
      </c>
      <c r="P143" s="2" t="str">
        <f>IF(OR($F143="Partial",$F143="No"),COUNTIF($F$3:$F143,"Partial")+COUNTIF($F$3:$F143,"No"),"")</f>
        <v/>
      </c>
      <c r="Q143" s="6" t="str">
        <f t="shared" si="41"/>
        <v/>
      </c>
    </row>
    <row r="144" spans="1:17" ht="42.75">
      <c r="A144" s="2">
        <v>16</v>
      </c>
      <c r="B144" s="2" t="s">
        <v>247</v>
      </c>
      <c r="C144" s="2" t="s">
        <v>518</v>
      </c>
      <c r="D144" s="2" t="s">
        <v>134</v>
      </c>
      <c r="E144" s="2" t="s">
        <v>519</v>
      </c>
      <c r="F144" s="2"/>
      <c r="G144" s="2"/>
      <c r="H144" s="2"/>
      <c r="I144" s="54"/>
      <c r="J144" s="2" t="str">
        <f t="shared" si="36"/>
        <v/>
      </c>
      <c r="K144" s="2">
        <f t="shared" si="37"/>
        <v>0</v>
      </c>
      <c r="L144" s="2" t="str">
        <f t="shared" si="38"/>
        <v/>
      </c>
      <c r="M144" s="2">
        <f t="shared" si="40"/>
        <v>30</v>
      </c>
      <c r="N144" s="54" t="str">
        <f>IF(OR($F144="Partial",$F144="No"),IF(Facility_Profile!$B$7="","",Facility_Profile!$B$7+$M144),"")</f>
        <v/>
      </c>
      <c r="O144" s="2" t="str">
        <f t="shared" si="39"/>
        <v>Missing response</v>
      </c>
      <c r="P144" s="2" t="str">
        <f>IF(OR($F144="Partial",$F144="No"),COUNTIF($F$3:$F144,"Partial")+COUNTIF($F$3:$F144,"No"),"")</f>
        <v/>
      </c>
      <c r="Q144" s="6" t="str">
        <f t="shared" si="41"/>
        <v/>
      </c>
    </row>
    <row r="145" spans="1:17" ht="28.5">
      <c r="A145" s="2">
        <v>16</v>
      </c>
      <c r="B145" s="2" t="s">
        <v>247</v>
      </c>
      <c r="C145" s="2" t="s">
        <v>520</v>
      </c>
      <c r="D145" s="2" t="s">
        <v>141</v>
      </c>
      <c r="E145" s="2" t="s">
        <v>521</v>
      </c>
      <c r="F145" s="2"/>
      <c r="G145" s="2"/>
      <c r="H145" s="2"/>
      <c r="I145" s="54"/>
      <c r="J145" s="2" t="str">
        <f t="shared" si="36"/>
        <v/>
      </c>
      <c r="K145" s="2">
        <f t="shared" si="37"/>
        <v>0</v>
      </c>
      <c r="L145" s="2" t="str">
        <f t="shared" si="38"/>
        <v/>
      </c>
      <c r="M145" s="2">
        <f t="shared" si="40"/>
        <v>90</v>
      </c>
      <c r="N145" s="54" t="str">
        <f>IF(OR($F145="Partial",$F145="No"),IF(Facility_Profile!$B$7="","",Facility_Profile!$B$7+$M145),"")</f>
        <v/>
      </c>
      <c r="O145" s="2" t="str">
        <f t="shared" si="39"/>
        <v>Missing response</v>
      </c>
      <c r="P145" s="2" t="str">
        <f>IF(OR($F145="Partial",$F145="No"),COUNTIF($F$3:$F145,"Partial")+COUNTIF($F$3:$F145,"No"),"")</f>
        <v/>
      </c>
      <c r="Q145" s="6" t="str">
        <f t="shared" si="41"/>
        <v/>
      </c>
    </row>
    <row r="146" spans="1:17" ht="28.5">
      <c r="A146" s="2">
        <v>16</v>
      </c>
      <c r="B146" s="2" t="s">
        <v>247</v>
      </c>
      <c r="C146" s="2" t="s">
        <v>522</v>
      </c>
      <c r="D146" s="2" t="s">
        <v>141</v>
      </c>
      <c r="E146" s="2" t="s">
        <v>523</v>
      </c>
      <c r="F146" s="2"/>
      <c r="G146" s="2"/>
      <c r="H146" s="2"/>
      <c r="I146" s="54"/>
      <c r="J146" s="2" t="str">
        <f t="shared" si="36"/>
        <v/>
      </c>
      <c r="K146" s="2">
        <f t="shared" si="37"/>
        <v>0</v>
      </c>
      <c r="L146" s="2" t="str">
        <f t="shared" si="38"/>
        <v/>
      </c>
      <c r="M146" s="2">
        <f t="shared" si="40"/>
        <v>90</v>
      </c>
      <c r="N146" s="54" t="str">
        <f>IF(OR($F146="Partial",$F146="No"),IF(Facility_Profile!$B$7="","",Facility_Profile!$B$7+$M146),"")</f>
        <v/>
      </c>
      <c r="O146" s="2" t="str">
        <f t="shared" si="39"/>
        <v>Missing response</v>
      </c>
      <c r="P146" s="2" t="str">
        <f>IF(OR($F146="Partial",$F146="No"),COUNTIF($F$3:$F146,"Partial")+COUNTIF($F$3:$F146,"No"),"")</f>
        <v/>
      </c>
      <c r="Q146" s="6" t="str">
        <f t="shared" si="41"/>
        <v/>
      </c>
    </row>
    <row r="147" spans="1:17" ht="28.5">
      <c r="A147" s="2">
        <v>16</v>
      </c>
      <c r="B147" s="2" t="s">
        <v>247</v>
      </c>
      <c r="C147" s="2" t="s">
        <v>524</v>
      </c>
      <c r="D147" s="2" t="s">
        <v>141</v>
      </c>
      <c r="E147" s="2" t="s">
        <v>525</v>
      </c>
      <c r="F147" s="2"/>
      <c r="G147" s="2"/>
      <c r="H147" s="2"/>
      <c r="I147" s="54"/>
      <c r="J147" s="2" t="str">
        <f t="shared" si="36"/>
        <v/>
      </c>
      <c r="K147" s="2">
        <f t="shared" si="37"/>
        <v>0</v>
      </c>
      <c r="L147" s="2" t="str">
        <f t="shared" si="38"/>
        <v/>
      </c>
      <c r="M147" s="2">
        <f t="shared" si="40"/>
        <v>90</v>
      </c>
      <c r="N147" s="54" t="str">
        <f>IF(OR($F147="Partial",$F147="No"),IF(Facility_Profile!$B$7="","",Facility_Profile!$B$7+$M147),"")</f>
        <v/>
      </c>
      <c r="O147" s="2" t="str">
        <f t="shared" si="39"/>
        <v>Missing response</v>
      </c>
      <c r="P147" s="2" t="str">
        <f>IF(OR($F147="Partial",$F147="No"),COUNTIF($F$3:$F147,"Partial")+COUNTIF($F$3:$F147,"No"),"")</f>
        <v/>
      </c>
      <c r="Q147" s="6" t="str">
        <f t="shared" si="41"/>
        <v/>
      </c>
    </row>
    <row r="148" spans="1:17" ht="28.5">
      <c r="A148" s="2">
        <v>16</v>
      </c>
      <c r="B148" s="2" t="s">
        <v>247</v>
      </c>
      <c r="C148" s="2" t="s">
        <v>526</v>
      </c>
      <c r="D148" s="2" t="s">
        <v>141</v>
      </c>
      <c r="E148" s="2" t="s">
        <v>527</v>
      </c>
      <c r="F148" s="2"/>
      <c r="G148" s="2"/>
      <c r="H148" s="2"/>
      <c r="I148" s="54"/>
      <c r="J148" s="2" t="str">
        <f t="shared" si="36"/>
        <v/>
      </c>
      <c r="K148" s="2">
        <f t="shared" si="37"/>
        <v>0</v>
      </c>
      <c r="L148" s="2" t="str">
        <f t="shared" si="38"/>
        <v/>
      </c>
      <c r="M148" s="2">
        <f t="shared" si="40"/>
        <v>90</v>
      </c>
      <c r="N148" s="54" t="str">
        <f>IF(OR($F148="Partial",$F148="No"),IF(Facility_Profile!$B$7="","",Facility_Profile!$B$7+$M148),"")</f>
        <v/>
      </c>
      <c r="O148" s="2" t="str">
        <f t="shared" si="39"/>
        <v>Missing response</v>
      </c>
      <c r="P148" s="2" t="str">
        <f>IF(OR($F148="Partial",$F148="No"),COUNTIF($F$3:$F148,"Partial")+COUNTIF($F$3:$F148,"No"),"")</f>
        <v/>
      </c>
      <c r="Q148" s="6" t="str">
        <f t="shared" si="41"/>
        <v/>
      </c>
    </row>
    <row r="149" spans="1:17" ht="28.5">
      <c r="A149" s="2">
        <v>16</v>
      </c>
      <c r="B149" s="2" t="s">
        <v>247</v>
      </c>
      <c r="C149" s="2" t="s">
        <v>528</v>
      </c>
      <c r="D149" s="2" t="s">
        <v>148</v>
      </c>
      <c r="E149" s="2" t="s">
        <v>529</v>
      </c>
      <c r="F149" s="2"/>
      <c r="G149" s="2"/>
      <c r="H149" s="2"/>
      <c r="I149" s="54"/>
      <c r="J149" s="2" t="str">
        <f t="shared" si="36"/>
        <v/>
      </c>
      <c r="K149" s="2">
        <f t="shared" si="37"/>
        <v>0</v>
      </c>
      <c r="L149" s="2" t="str">
        <f t="shared" si="38"/>
        <v/>
      </c>
      <c r="M149" s="2">
        <f t="shared" si="40"/>
        <v>180</v>
      </c>
      <c r="N149" s="54" t="str">
        <f>IF(OR($F149="Partial",$F149="No"),IF(Facility_Profile!$B$7="","",Facility_Profile!$B$7+$M149),"")</f>
        <v/>
      </c>
      <c r="O149" s="2" t="str">
        <f t="shared" si="39"/>
        <v>Missing response</v>
      </c>
      <c r="P149" s="2" t="str">
        <f>IF(OR($F149="Partial",$F149="No"),COUNTIF($F$3:$F149,"Partial")+COUNTIF($F$3:$F149,"No"),"")</f>
        <v/>
      </c>
      <c r="Q149" s="6" t="str">
        <f t="shared" si="41"/>
        <v/>
      </c>
    </row>
  </sheetData>
  <mergeCells count="1">
    <mergeCell ref="A1:Q1"/>
  </mergeCells>
  <conditionalFormatting sqref="D3:D149">
    <cfRule type="expression" dxfId="107" priority="1">
      <formula>$D3="P1"</formula>
    </cfRule>
    <cfRule type="expression" dxfId="106" priority="2">
      <formula>$D3="P2"</formula>
    </cfRule>
    <cfRule type="expression" dxfId="105" priority="3">
      <formula>$D3="P3"</formula>
    </cfRule>
  </conditionalFormatting>
  <conditionalFormatting sqref="F3:F149">
    <cfRule type="expression" dxfId="104" priority="4">
      <formula>F3="Yes"</formula>
    </cfRule>
    <cfRule type="expression" dxfId="103" priority="5">
      <formula>F3="Partial"</formula>
    </cfRule>
    <cfRule type="expression" dxfId="102" priority="6">
      <formula>F3="No"</formula>
    </cfRule>
    <cfRule type="expression" dxfId="101" priority="7">
      <formula>F3="N/A"</formula>
    </cfRule>
  </conditionalFormatting>
  <conditionalFormatting sqref="L3:L149">
    <cfRule type="expression" dxfId="100" priority="8">
      <formula>L3="P1 gap"</formula>
    </cfRule>
    <cfRule type="expression" dxfId="99" priority="9">
      <formula>OR(L3="Gap",L3="See sub-item gap(s)")</formula>
    </cfRule>
  </conditionalFormatting>
  <conditionalFormatting sqref="O3:O149">
    <cfRule type="expression" dxfId="98" priority="10">
      <formula>O3="Missing response"</formula>
    </cfRule>
    <cfRule type="expression" dxfId="97" priority="11">
      <formula>O3="Check response"</formula>
    </cfRule>
  </conditionalFormatting>
  <conditionalFormatting sqref="Q3:Q149">
    <cfRule type="expression" dxfId="96" priority="12">
      <formula>AND(ISNUMBER(Q3),Q3&gt;=0.9)</formula>
    </cfRule>
    <cfRule type="expression" dxfId="95" priority="13">
      <formula>AND(ISNUMBER(Q3),Q3&gt;=0.8,Q3&lt;0.9)</formula>
    </cfRule>
    <cfRule type="expression" dxfId="94" priority="14">
      <formula>AND(ISNUMBER(Q3),Q3&gt;=0.6,Q3&lt;0.8)</formula>
    </cfRule>
    <cfRule type="expression" dxfId="93" priority="15">
      <formula>AND(ISNUMBER(Q3),Q3&lt;0.6)</formula>
    </cfRule>
  </conditionalFormatting>
  <dataValidations count="1">
    <dataValidation type="list" allowBlank="1" showErrorMessage="1" errorTitle="Invalid response" error="Select Yes, Partial, No, or N/A from the dropdown list." sqref="F3:F47 F84:F149 F77:F82 F70:F75 F63:F68 F56:F61 F49:F54" xr:uid="{00000000-0002-0000-0300-000000000000}">
      <formula1>"Yes,Partial,No,N/A"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0"/>
  <sheetViews>
    <sheetView showGridLines="0" zoomScaleNormal="100" workbookViewId="0">
      <selection activeCell="E5" sqref="E5:E9"/>
    </sheetView>
  </sheetViews>
  <sheetFormatPr defaultRowHeight="14.25"/>
  <cols>
    <col min="1" max="1" width="12.875" customWidth="1"/>
    <col min="2" max="2" width="42.875" customWidth="1"/>
    <col min="3" max="3" width="14.25" customWidth="1"/>
    <col min="4" max="4" width="8.625" customWidth="1"/>
    <col min="5" max="5" width="9" customWidth="1"/>
    <col min="6" max="6" width="11.125" customWidth="1"/>
    <col min="7" max="7" width="9" customWidth="1"/>
    <col min="8" max="8" width="9.5" customWidth="1"/>
    <col min="9" max="9" width="14" customWidth="1"/>
    <col min="10" max="10" width="12" customWidth="1"/>
    <col min="11" max="11" width="10" customWidth="1"/>
    <col min="12" max="12" width="11" customWidth="1"/>
    <col min="13" max="13" width="24" customWidth="1"/>
    <col min="14" max="14" width="30" customWidth="1"/>
    <col min="27" max="31" width="2" customWidth="1"/>
  </cols>
  <sheetData>
    <row r="1" spans="1:31" ht="32.1" customHeight="1">
      <c r="A1" s="82" t="s">
        <v>194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4"/>
      <c r="AA1" s="59"/>
      <c r="AB1" s="59"/>
      <c r="AC1" s="59"/>
      <c r="AD1" s="59"/>
      <c r="AE1" s="59"/>
    </row>
    <row r="2" spans="1:31" ht="24" customHeight="1">
      <c r="A2" s="96" t="s">
        <v>616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  <c r="AA2" s="59"/>
      <c r="AB2" s="59"/>
      <c r="AC2" s="59"/>
      <c r="AD2" s="59"/>
      <c r="AE2" s="59"/>
    </row>
    <row r="3" spans="1:31">
      <c r="AA3" s="59"/>
      <c r="AB3" s="59"/>
      <c r="AC3" s="59"/>
      <c r="AD3" s="59"/>
      <c r="AE3" s="59"/>
    </row>
    <row r="4" spans="1:31" ht="24">
      <c r="A4" s="9" t="s">
        <v>195</v>
      </c>
      <c r="B4" s="9" t="s">
        <v>196</v>
      </c>
      <c r="C4" s="9" t="s">
        <v>197</v>
      </c>
      <c r="E4" s="34" t="s">
        <v>198</v>
      </c>
      <c r="F4" s="34" t="s">
        <v>199</v>
      </c>
      <c r="G4" s="34" t="s">
        <v>49</v>
      </c>
      <c r="H4" s="34" t="s">
        <v>90</v>
      </c>
      <c r="AA4" s="59"/>
      <c r="AB4" s="59"/>
      <c r="AC4" s="59"/>
      <c r="AD4" s="59"/>
      <c r="AE4" s="59"/>
    </row>
    <row r="5" spans="1:31" ht="45.75" customHeight="1">
      <c r="A5" s="66" t="s">
        <v>188</v>
      </c>
      <c r="B5" s="33">
        <f>IFERROR($D$32/$I$32,"")</f>
        <v>0.5</v>
      </c>
      <c r="C5" s="70" t="s">
        <v>200</v>
      </c>
      <c r="E5" s="71" t="s">
        <v>95</v>
      </c>
      <c r="F5" s="71" t="s">
        <v>201</v>
      </c>
      <c r="G5" s="71" t="s">
        <v>202</v>
      </c>
      <c r="H5" s="14" t="s">
        <v>97</v>
      </c>
      <c r="AA5" s="59"/>
      <c r="AB5" s="59"/>
      <c r="AC5" s="59"/>
      <c r="AD5" s="59"/>
      <c r="AE5" s="59"/>
    </row>
    <row r="6" spans="1:31" ht="54.75" customHeight="1">
      <c r="A6" s="66" t="s">
        <v>203</v>
      </c>
      <c r="B6" s="31">
        <f>$I$32</f>
        <v>2</v>
      </c>
      <c r="C6" s="70" t="s">
        <v>204</v>
      </c>
      <c r="E6" s="71" t="s">
        <v>102</v>
      </c>
      <c r="F6" s="71" t="s">
        <v>205</v>
      </c>
      <c r="G6" s="71" t="s">
        <v>206</v>
      </c>
      <c r="H6" s="15" t="s">
        <v>104</v>
      </c>
      <c r="AA6" s="59"/>
      <c r="AB6" s="59"/>
      <c r="AC6" s="59"/>
      <c r="AD6" s="59"/>
      <c r="AE6" s="59"/>
    </row>
    <row r="7" spans="1:31" ht="45.75" customHeight="1">
      <c r="A7" s="66" t="s">
        <v>72</v>
      </c>
      <c r="B7" s="33">
        <f>IFERROR(($C$32-$H$32)/$C$32,"")</f>
        <v>1.4184397163120567E-2</v>
      </c>
      <c r="C7" s="70" t="s">
        <v>207</v>
      </c>
      <c r="E7" s="71" t="s">
        <v>107</v>
      </c>
      <c r="F7" s="71" t="s">
        <v>208</v>
      </c>
      <c r="G7" s="71" t="s">
        <v>209</v>
      </c>
      <c r="H7" s="16" t="s">
        <v>109</v>
      </c>
      <c r="AA7" s="59"/>
      <c r="AB7" s="59"/>
      <c r="AC7" s="59"/>
      <c r="AD7" s="59"/>
      <c r="AE7" s="59"/>
    </row>
    <row r="8" spans="1:31" ht="40.5" customHeight="1">
      <c r="A8" s="66" t="s">
        <v>189</v>
      </c>
      <c r="B8" s="31">
        <f>$K$32</f>
        <v>1</v>
      </c>
      <c r="C8" s="70" t="s">
        <v>210</v>
      </c>
      <c r="E8" s="71" t="s">
        <v>112</v>
      </c>
      <c r="F8" s="71" t="s">
        <v>211</v>
      </c>
      <c r="G8" s="71" t="s">
        <v>212</v>
      </c>
      <c r="H8" s="17" t="s">
        <v>114</v>
      </c>
      <c r="AA8" s="59"/>
      <c r="AB8" s="59"/>
      <c r="AC8" s="59"/>
      <c r="AD8" s="59"/>
      <c r="AE8" s="59"/>
    </row>
    <row r="9" spans="1:31" ht="44.25" customHeight="1">
      <c r="A9" s="66" t="s">
        <v>190</v>
      </c>
      <c r="B9" s="31">
        <f>$E$32+$F$32</f>
        <v>1</v>
      </c>
      <c r="C9" s="70" t="s">
        <v>213</v>
      </c>
      <c r="E9" s="71" t="s">
        <v>119</v>
      </c>
      <c r="F9" s="71" t="s">
        <v>214</v>
      </c>
      <c r="G9" s="71" t="s">
        <v>215</v>
      </c>
      <c r="H9" s="18" t="s">
        <v>121</v>
      </c>
      <c r="AA9" s="59"/>
      <c r="AB9" s="59"/>
      <c r="AC9" s="59"/>
      <c r="AD9" s="59"/>
      <c r="AE9" s="59"/>
    </row>
    <row r="10" spans="1:31" ht="35.1" customHeight="1">
      <c r="A10" s="66" t="s">
        <v>191</v>
      </c>
      <c r="B10" s="31">
        <f>$H$32</f>
        <v>139</v>
      </c>
      <c r="C10" s="70" t="s">
        <v>216</v>
      </c>
      <c r="AA10" s="59"/>
      <c r="AB10" s="59"/>
      <c r="AC10" s="59"/>
      <c r="AD10" s="59"/>
      <c r="AE10" s="59"/>
    </row>
    <row r="11" spans="1:31" ht="48">
      <c r="A11" s="66" t="s">
        <v>217</v>
      </c>
      <c r="B11" s="31">
        <f>$G$32</f>
        <v>0</v>
      </c>
      <c r="C11" s="70" t="s">
        <v>218</v>
      </c>
      <c r="AA11" s="59"/>
      <c r="AB11" s="59"/>
      <c r="AC11" s="59"/>
      <c r="AD11" s="59"/>
      <c r="AE11" s="59"/>
    </row>
    <row r="12" spans="1:31" ht="48">
      <c r="A12" s="66" t="s">
        <v>193</v>
      </c>
      <c r="B12" s="31" t="str">
        <f>IF($B$10&gt;0,"Incomplete - complete all responses",IF($B$6=0,"No applicable items",IF($B$8&gt;0,"Critical - resolve P1 gap(s)",IF($B$5&gt;=0.9,"Ready",IF($B$5&gt;=0.8,"Substantially ready",IF($B$5&gt;=0.6,"Partially ready","Critical readiness gap"))))))</f>
        <v>Incomplete - complete all responses</v>
      </c>
      <c r="C12" s="70" t="s">
        <v>219</v>
      </c>
      <c r="AA12" s="59"/>
      <c r="AB12" s="59"/>
      <c r="AC12" s="59"/>
      <c r="AD12" s="59"/>
      <c r="AE12" s="59"/>
    </row>
    <row r="13" spans="1:31">
      <c r="AA13" s="59"/>
      <c r="AB13" s="59"/>
      <c r="AC13" s="59"/>
      <c r="AD13" s="59"/>
      <c r="AE13" s="59"/>
    </row>
    <row r="14" spans="1:31" ht="36" customHeight="1">
      <c r="AA14" s="59"/>
      <c r="AB14" s="59"/>
      <c r="AC14" s="59"/>
      <c r="AD14" s="59"/>
      <c r="AE14" s="59"/>
    </row>
    <row r="15" spans="1:31" ht="36" customHeight="1">
      <c r="A15" s="68" t="s">
        <v>220</v>
      </c>
      <c r="B15" s="68" t="s">
        <v>221</v>
      </c>
      <c r="C15" s="68" t="s">
        <v>222</v>
      </c>
      <c r="D15" s="68" t="s">
        <v>223</v>
      </c>
      <c r="E15" s="68" t="s">
        <v>224</v>
      </c>
      <c r="F15" s="68" t="s">
        <v>225</v>
      </c>
      <c r="G15" s="68" t="s">
        <v>226</v>
      </c>
      <c r="H15" s="68" t="s">
        <v>227</v>
      </c>
      <c r="I15" s="68" t="s">
        <v>228</v>
      </c>
      <c r="J15" s="68" t="s">
        <v>65</v>
      </c>
      <c r="K15" s="68" t="s">
        <v>189</v>
      </c>
      <c r="L15" s="68" t="s">
        <v>229</v>
      </c>
      <c r="M15" s="68" t="s">
        <v>230</v>
      </c>
      <c r="N15" s="68" t="s">
        <v>231</v>
      </c>
      <c r="AA15" s="59" t="s">
        <v>221</v>
      </c>
      <c r="AB15" s="59" t="s">
        <v>65</v>
      </c>
      <c r="AC15" s="59"/>
      <c r="AD15" s="59"/>
      <c r="AE15" s="59"/>
    </row>
    <row r="16" spans="1:31" ht="36" customHeight="1">
      <c r="A16" s="13">
        <v>1</v>
      </c>
      <c r="B16" s="67" t="s">
        <v>232</v>
      </c>
      <c r="C16" s="13">
        <f>COUNTIFS(Checklist!$A$3:$A$149,$A16,Checklist!$O$3:$O$149,"&lt;&gt;Parent summary - not scored separately")</f>
        <v>6</v>
      </c>
      <c r="D16" s="13">
        <f>COUNTIFS(Checklist!$A$3:$A$149,$A16,Checklist!$F$3:$F$149,"Yes",Checklist!$O$3:$O$149,"&lt;&gt;Parent summary - not scored separately")</f>
        <v>0</v>
      </c>
      <c r="E16" s="13">
        <f>COUNTIFS(Checklist!$A$3:$A$149,$A16,Checklist!$F$3:$F$149,"Partial",Checklist!$O$3:$O$149,"&lt;&gt;Parent summary - not scored separately")</f>
        <v>0</v>
      </c>
      <c r="F16" s="13">
        <f>COUNTIFS(Checklist!$A$3:$A$149,$A16,Checklist!$F$3:$F$149,"No",Checklist!$O$3:$O$149,"&lt;&gt;Parent summary - not scored separately")</f>
        <v>0</v>
      </c>
      <c r="G16" s="13">
        <f>COUNTIFS(Checklist!$A$3:$A$149,$A16,Checklist!$F$3:$F$149,"N/A",Checklist!$O$3:$O$149,"&lt;&gt;Parent summary - not scored separately")</f>
        <v>0</v>
      </c>
      <c r="H16" s="13">
        <f t="shared" ref="H16:H31" si="0">C16-SUM(D16:G16)</f>
        <v>6</v>
      </c>
      <c r="I16" s="13">
        <f t="shared" ref="I16:I31" si="1">SUM(D16:F16)</f>
        <v>0</v>
      </c>
      <c r="J16" s="32" t="str">
        <f t="shared" ref="J16:J32" si="2">IFERROR(D16/I16,"")</f>
        <v/>
      </c>
      <c r="K16" s="13">
        <f>COUNTIFS(Checklist!$A$3:$A$149,$A16,Checklist!$D$3:$D$149,"P1",Checklist!$F$3:$F$149,"Partial",Checklist!$O$3:$O$149,"&lt;&gt;Parent summary - not scored separately")+COUNTIFS(Checklist!$A$3:$A$149,$A16,Checklist!$D$3:$D$149,"P1",Checklist!$F$3:$F$149,"No",Checklist!$O$3:$O$149,"&lt;&gt;Parent summary - not scored separately")</f>
        <v>0</v>
      </c>
      <c r="L16" s="13">
        <f>COUNTIFS(Checklist!$A$3:$A$149,$A16,Checklist!$D$3:$D$149,"P2",Checklist!$F$3:$F$149,"Partial",Checklist!$O$3:$O$149,"&lt;&gt;Parent summary - not scored separately")+COUNTIFS(Checklist!$A$3:$A$149,$A16,Checklist!$D$3:$D$149,"P2",Checklist!$F$3:$F$149,"No",Checklist!$O$3:$O$149,"&lt;&gt;Parent summary - not scored separately")+COUNTIFS(Checklist!$A$3:$A$149,$A16,Checklist!$D$3:$D$149,"P3",Checklist!$F$3:$F$149,"Partial",Checklist!$O$3:$O$149,"&lt;&gt;Parent summary - not scored separately")+COUNTIFS(Checklist!$A$3:$A$149,$A16,Checklist!$D$3:$D$149,"P3",Checklist!$F$3:$F$149,"No",Checklist!$O$3:$O$149,"&lt;&gt;Parent summary - not scored separately")</f>
        <v>0</v>
      </c>
      <c r="M16" s="13" t="str">
        <f t="shared" ref="M16:M31" si="3">IF(H16&gt;0,"Incomplete",IF(I16=0,"No applicable items",IF(K16&gt;0,"Critical - P1 gap(s)",IF(J16&gt;=0.9,"Ready",IF(J16&gt;=0.8,"Substantially ready",IF(J16&gt;=0.6,"Partially ready","Critical readiness gap"))))))</f>
        <v>Incomplete</v>
      </c>
      <c r="N16" s="27"/>
      <c r="AA16" s="59" t="s">
        <v>617</v>
      </c>
      <c r="AB16" s="60" t="str">
        <f t="shared" ref="AB16:AB31" si="4">IF($I16=0,"",$J16)</f>
        <v/>
      </c>
      <c r="AC16" s="59"/>
      <c r="AD16" s="59"/>
      <c r="AE16" s="59"/>
    </row>
    <row r="17" spans="1:31" ht="36" customHeight="1">
      <c r="A17" s="13">
        <v>2</v>
      </c>
      <c r="B17" s="67" t="s">
        <v>233</v>
      </c>
      <c r="C17" s="13">
        <f>COUNTIFS(Checklist!$A$3:$A$149,$A17,Checklist!$O$3:$O$149,"&lt;&gt;Parent summary - not scored separately")</f>
        <v>7</v>
      </c>
      <c r="D17" s="13">
        <f>COUNTIFS(Checklist!$A$3:$A$149,$A17,Checklist!$F$3:$F$149,"Yes",Checklist!$O$3:$O$149,"&lt;&gt;Parent summary - not scored separately")</f>
        <v>0</v>
      </c>
      <c r="E17" s="13">
        <f>COUNTIFS(Checklist!$A$3:$A$149,$A17,Checklist!$F$3:$F$149,"Partial",Checklist!$O$3:$O$149,"&lt;&gt;Parent summary - not scored separately")</f>
        <v>0</v>
      </c>
      <c r="F17" s="13">
        <f>COUNTIFS(Checklist!$A$3:$A$149,$A17,Checklist!$F$3:$F$149,"No",Checklist!$O$3:$O$149,"&lt;&gt;Parent summary - not scored separately")</f>
        <v>0</v>
      </c>
      <c r="G17" s="13">
        <f>COUNTIFS(Checklist!$A$3:$A$149,$A17,Checklist!$F$3:$F$149,"N/A",Checklist!$O$3:$O$149,"&lt;&gt;Parent summary - not scored separately")</f>
        <v>0</v>
      </c>
      <c r="H17" s="13">
        <f t="shared" si="0"/>
        <v>7</v>
      </c>
      <c r="I17" s="13">
        <f t="shared" si="1"/>
        <v>0</v>
      </c>
      <c r="J17" s="32" t="str">
        <f t="shared" si="2"/>
        <v/>
      </c>
      <c r="K17" s="13">
        <f>COUNTIFS(Checklist!$A$3:$A$149,$A17,Checklist!$D$3:$D$149,"P1",Checklist!$F$3:$F$149,"Partial",Checklist!$O$3:$O$149,"&lt;&gt;Parent summary - not scored separately")+COUNTIFS(Checklist!$A$3:$A$149,$A17,Checklist!$D$3:$D$149,"P1",Checklist!$F$3:$F$149,"No",Checklist!$O$3:$O$149,"&lt;&gt;Parent summary - not scored separately")</f>
        <v>0</v>
      </c>
      <c r="L17" s="13">
        <f>COUNTIFS(Checklist!$A$3:$A$149,$A17,Checklist!$D$3:$D$149,"P2",Checklist!$F$3:$F$149,"Partial",Checklist!$O$3:$O$149,"&lt;&gt;Parent summary - not scored separately")+COUNTIFS(Checklist!$A$3:$A$149,$A17,Checklist!$D$3:$D$149,"P2",Checklist!$F$3:$F$149,"No",Checklist!$O$3:$O$149,"&lt;&gt;Parent summary - not scored separately")+COUNTIFS(Checklist!$A$3:$A$149,$A17,Checklist!$D$3:$D$149,"P3",Checklist!$F$3:$F$149,"Partial",Checklist!$O$3:$O$149,"&lt;&gt;Parent summary - not scored separately")+COUNTIFS(Checklist!$A$3:$A$149,$A17,Checklist!$D$3:$D$149,"P3",Checklist!$F$3:$F$149,"No",Checklist!$O$3:$O$149,"&lt;&gt;Parent summary - not scored separately")</f>
        <v>0</v>
      </c>
      <c r="M17" s="13" t="str">
        <f t="shared" si="3"/>
        <v>Incomplete</v>
      </c>
      <c r="N17" s="27"/>
      <c r="AA17" s="59" t="s">
        <v>618</v>
      </c>
      <c r="AB17" s="60" t="str">
        <f t="shared" si="4"/>
        <v/>
      </c>
      <c r="AC17" s="59"/>
      <c r="AD17" s="59"/>
      <c r="AE17" s="59"/>
    </row>
    <row r="18" spans="1:31" ht="36" customHeight="1">
      <c r="A18" s="13">
        <v>3</v>
      </c>
      <c r="B18" s="67" t="s">
        <v>234</v>
      </c>
      <c r="C18" s="13">
        <f>COUNTIFS(Checklist!$A$3:$A$149,$A18,Checklist!$O$3:$O$149,"&lt;&gt;Parent summary - not scored separately")</f>
        <v>7</v>
      </c>
      <c r="D18" s="13">
        <f>COUNTIFS(Checklist!$A$3:$A$149,$A18,Checklist!$F$3:$F$149,"Yes",Checklist!$O$3:$O$149,"&lt;&gt;Parent summary - not scored separately")</f>
        <v>0</v>
      </c>
      <c r="E18" s="13">
        <f>COUNTIFS(Checklist!$A$3:$A$149,$A18,Checklist!$F$3:$F$149,"Partial",Checklist!$O$3:$O$149,"&lt;&gt;Parent summary - not scored separately")</f>
        <v>0</v>
      </c>
      <c r="F18" s="13">
        <f>COUNTIFS(Checklist!$A$3:$A$149,$A18,Checklist!$F$3:$F$149,"No",Checklist!$O$3:$O$149,"&lt;&gt;Parent summary - not scored separately")</f>
        <v>0</v>
      </c>
      <c r="G18" s="13">
        <f>COUNTIFS(Checklist!$A$3:$A$149,$A18,Checklist!$F$3:$F$149,"N/A",Checklist!$O$3:$O$149,"&lt;&gt;Parent summary - not scored separately")</f>
        <v>0</v>
      </c>
      <c r="H18" s="13">
        <f t="shared" si="0"/>
        <v>7</v>
      </c>
      <c r="I18" s="13">
        <f t="shared" si="1"/>
        <v>0</v>
      </c>
      <c r="J18" s="32" t="str">
        <f t="shared" si="2"/>
        <v/>
      </c>
      <c r="K18" s="13">
        <f>COUNTIFS(Checklist!$A$3:$A$149,$A18,Checklist!$D$3:$D$149,"P1",Checklist!$F$3:$F$149,"Partial",Checklist!$O$3:$O$149,"&lt;&gt;Parent summary - not scored separately")+COUNTIFS(Checklist!$A$3:$A$149,$A18,Checklist!$D$3:$D$149,"P1",Checklist!$F$3:$F$149,"No",Checklist!$O$3:$O$149,"&lt;&gt;Parent summary - not scored separately")</f>
        <v>0</v>
      </c>
      <c r="L18" s="13">
        <f>COUNTIFS(Checklist!$A$3:$A$149,$A18,Checklist!$D$3:$D$149,"P2",Checklist!$F$3:$F$149,"Partial",Checklist!$O$3:$O$149,"&lt;&gt;Parent summary - not scored separately")+COUNTIFS(Checklist!$A$3:$A$149,$A18,Checklist!$D$3:$D$149,"P2",Checklist!$F$3:$F$149,"No",Checklist!$O$3:$O$149,"&lt;&gt;Parent summary - not scored separately")+COUNTIFS(Checklist!$A$3:$A$149,$A18,Checklist!$D$3:$D$149,"P3",Checklist!$F$3:$F$149,"Partial",Checklist!$O$3:$O$149,"&lt;&gt;Parent summary - not scored separately")+COUNTIFS(Checklist!$A$3:$A$149,$A18,Checklist!$D$3:$D$149,"P3",Checklist!$F$3:$F$149,"No",Checklist!$O$3:$O$149,"&lt;&gt;Parent summary - not scored separately")</f>
        <v>0</v>
      </c>
      <c r="M18" s="13" t="str">
        <f t="shared" si="3"/>
        <v>Incomplete</v>
      </c>
      <c r="N18" s="27"/>
      <c r="AA18" s="59" t="s">
        <v>619</v>
      </c>
      <c r="AB18" s="60" t="str">
        <f t="shared" si="4"/>
        <v/>
      </c>
      <c r="AC18" s="59"/>
      <c r="AD18" s="59"/>
      <c r="AE18" s="59"/>
    </row>
    <row r="19" spans="1:31" ht="36" customHeight="1">
      <c r="A19" s="13">
        <v>4</v>
      </c>
      <c r="B19" s="67" t="s">
        <v>235</v>
      </c>
      <c r="C19" s="13">
        <f>COUNTIFS(Checklist!$A$3:$A$149,$A19,Checklist!$O$3:$O$149,"&lt;&gt;Parent summary - not scored separately")</f>
        <v>7</v>
      </c>
      <c r="D19" s="13">
        <f>COUNTIFS(Checklist!$A$3:$A$149,$A19,Checklist!$F$3:$F$149,"Yes",Checklist!$O$3:$O$149,"&lt;&gt;Parent summary - not scored separately")</f>
        <v>0</v>
      </c>
      <c r="E19" s="13">
        <f>COUNTIFS(Checklist!$A$3:$A$149,$A19,Checklist!$F$3:$F$149,"Partial",Checklist!$O$3:$O$149,"&lt;&gt;Parent summary - not scored separately")</f>
        <v>0</v>
      </c>
      <c r="F19" s="13">
        <f>COUNTIFS(Checklist!$A$3:$A$149,$A19,Checklist!$F$3:$F$149,"No",Checklist!$O$3:$O$149,"&lt;&gt;Parent summary - not scored separately")</f>
        <v>0</v>
      </c>
      <c r="G19" s="13">
        <f>COUNTIFS(Checklist!$A$3:$A$149,$A19,Checklist!$F$3:$F$149,"N/A",Checklist!$O$3:$O$149,"&lt;&gt;Parent summary - not scored separately")</f>
        <v>0</v>
      </c>
      <c r="H19" s="13">
        <f t="shared" si="0"/>
        <v>7</v>
      </c>
      <c r="I19" s="13">
        <f t="shared" si="1"/>
        <v>0</v>
      </c>
      <c r="J19" s="32" t="str">
        <f t="shared" si="2"/>
        <v/>
      </c>
      <c r="K19" s="13">
        <f>COUNTIFS(Checklist!$A$3:$A$149,$A19,Checklist!$D$3:$D$149,"P1",Checklist!$F$3:$F$149,"Partial",Checklist!$O$3:$O$149,"&lt;&gt;Parent summary - not scored separately")+COUNTIFS(Checklist!$A$3:$A$149,$A19,Checklist!$D$3:$D$149,"P1",Checklist!$F$3:$F$149,"No",Checklist!$O$3:$O$149,"&lt;&gt;Parent summary - not scored separately")</f>
        <v>0</v>
      </c>
      <c r="L19" s="13">
        <f>COUNTIFS(Checklist!$A$3:$A$149,$A19,Checklist!$D$3:$D$149,"P2",Checklist!$F$3:$F$149,"Partial",Checklist!$O$3:$O$149,"&lt;&gt;Parent summary - not scored separately")+COUNTIFS(Checklist!$A$3:$A$149,$A19,Checklist!$D$3:$D$149,"P2",Checklist!$F$3:$F$149,"No",Checklist!$O$3:$O$149,"&lt;&gt;Parent summary - not scored separately")+COUNTIFS(Checklist!$A$3:$A$149,$A19,Checklist!$D$3:$D$149,"P3",Checklist!$F$3:$F$149,"Partial",Checklist!$O$3:$O$149,"&lt;&gt;Parent summary - not scored separately")+COUNTIFS(Checklist!$A$3:$A$149,$A19,Checklist!$D$3:$D$149,"P3",Checklist!$F$3:$F$149,"No",Checklist!$O$3:$O$149,"&lt;&gt;Parent summary - not scored separately")</f>
        <v>0</v>
      </c>
      <c r="M19" s="13" t="str">
        <f t="shared" si="3"/>
        <v>Incomplete</v>
      </c>
      <c r="N19" s="27"/>
      <c r="AA19" s="59" t="s">
        <v>620</v>
      </c>
      <c r="AB19" s="60" t="str">
        <f t="shared" si="4"/>
        <v/>
      </c>
      <c r="AC19" s="59"/>
      <c r="AD19" s="59"/>
      <c r="AE19" s="59"/>
    </row>
    <row r="20" spans="1:31" ht="36" customHeight="1">
      <c r="A20" s="13">
        <v>5</v>
      </c>
      <c r="B20" s="67" t="s">
        <v>236</v>
      </c>
      <c r="C20" s="13">
        <f>COUNTIFS(Checklist!$A$3:$A$149,$A20,Checklist!$O$3:$O$149,"&lt;&gt;Parent summary - not scored separately")</f>
        <v>9</v>
      </c>
      <c r="D20" s="13">
        <f>COUNTIFS(Checklist!$A$3:$A$149,$A20,Checklist!$F$3:$F$149,"Yes",Checklist!$O$3:$O$149,"&lt;&gt;Parent summary - not scored separately")</f>
        <v>0</v>
      </c>
      <c r="E20" s="13">
        <f>COUNTIFS(Checklist!$A$3:$A$149,$A20,Checklist!$F$3:$F$149,"Partial",Checklist!$O$3:$O$149,"&lt;&gt;Parent summary - not scored separately")</f>
        <v>0</v>
      </c>
      <c r="F20" s="13">
        <f>COUNTIFS(Checklist!$A$3:$A$149,$A20,Checklist!$F$3:$F$149,"No",Checklist!$O$3:$O$149,"&lt;&gt;Parent summary - not scored separately")</f>
        <v>0</v>
      </c>
      <c r="G20" s="13">
        <f>COUNTIFS(Checklist!$A$3:$A$149,$A20,Checklist!$F$3:$F$149,"N/A",Checklist!$O$3:$O$149,"&lt;&gt;Parent summary - not scored separately")</f>
        <v>0</v>
      </c>
      <c r="H20" s="13">
        <f t="shared" si="0"/>
        <v>9</v>
      </c>
      <c r="I20" s="13">
        <f t="shared" si="1"/>
        <v>0</v>
      </c>
      <c r="J20" s="32" t="str">
        <f t="shared" si="2"/>
        <v/>
      </c>
      <c r="K20" s="13">
        <f>COUNTIFS(Checklist!$A$3:$A$149,$A20,Checklist!$D$3:$D$149,"P1",Checklist!$F$3:$F$149,"Partial",Checklist!$O$3:$O$149,"&lt;&gt;Parent summary - not scored separately")+COUNTIFS(Checklist!$A$3:$A$149,$A20,Checklist!$D$3:$D$149,"P1",Checklist!$F$3:$F$149,"No",Checklist!$O$3:$O$149,"&lt;&gt;Parent summary - not scored separately")</f>
        <v>0</v>
      </c>
      <c r="L20" s="13">
        <f>COUNTIFS(Checklist!$A$3:$A$149,$A20,Checklist!$D$3:$D$149,"P2",Checklist!$F$3:$F$149,"Partial",Checklist!$O$3:$O$149,"&lt;&gt;Parent summary - not scored separately")+COUNTIFS(Checklist!$A$3:$A$149,$A20,Checklist!$D$3:$D$149,"P2",Checklist!$F$3:$F$149,"No",Checklist!$O$3:$O$149,"&lt;&gt;Parent summary - not scored separately")+COUNTIFS(Checklist!$A$3:$A$149,$A20,Checklist!$D$3:$D$149,"P3",Checklist!$F$3:$F$149,"Partial",Checklist!$O$3:$O$149,"&lt;&gt;Parent summary - not scored separately")+COUNTIFS(Checklist!$A$3:$A$149,$A20,Checklist!$D$3:$D$149,"P3",Checklist!$F$3:$F$149,"No",Checklist!$O$3:$O$149,"&lt;&gt;Parent summary - not scored separately")</f>
        <v>0</v>
      </c>
      <c r="M20" s="13" t="str">
        <f t="shared" si="3"/>
        <v>Incomplete</v>
      </c>
      <c r="N20" s="27"/>
      <c r="AA20" s="59" t="s">
        <v>621</v>
      </c>
      <c r="AB20" s="60" t="str">
        <f t="shared" si="4"/>
        <v/>
      </c>
      <c r="AC20" s="59"/>
      <c r="AD20" s="59"/>
      <c r="AE20" s="59"/>
    </row>
    <row r="21" spans="1:31" ht="36" customHeight="1">
      <c r="A21" s="13">
        <v>6</v>
      </c>
      <c r="B21" s="67" t="s">
        <v>237</v>
      </c>
      <c r="C21" s="13">
        <f>COUNTIFS(Checklist!$A$3:$A$149,$A21,Checklist!$O$3:$O$149,"&lt;&gt;Parent summary - not scored separately")</f>
        <v>9</v>
      </c>
      <c r="D21" s="13">
        <f>COUNTIFS(Checklist!$A$3:$A$149,$A21,Checklist!$F$3:$F$149,"Yes",Checklist!$O$3:$O$149,"&lt;&gt;Parent summary - not scored separately")</f>
        <v>0</v>
      </c>
      <c r="E21" s="13">
        <f>COUNTIFS(Checklist!$A$3:$A$149,$A21,Checklist!$F$3:$F$149,"Partial",Checklist!$O$3:$O$149,"&lt;&gt;Parent summary - not scored separately")</f>
        <v>0</v>
      </c>
      <c r="F21" s="13">
        <f>COUNTIFS(Checklist!$A$3:$A$149,$A21,Checklist!$F$3:$F$149,"No",Checklist!$O$3:$O$149,"&lt;&gt;Parent summary - not scored separately")</f>
        <v>0</v>
      </c>
      <c r="G21" s="13">
        <f>COUNTIFS(Checklist!$A$3:$A$149,$A21,Checklist!$F$3:$F$149,"N/A",Checklist!$O$3:$O$149,"&lt;&gt;Parent summary - not scored separately")</f>
        <v>0</v>
      </c>
      <c r="H21" s="13">
        <f t="shared" si="0"/>
        <v>9</v>
      </c>
      <c r="I21" s="13">
        <f t="shared" si="1"/>
        <v>0</v>
      </c>
      <c r="J21" s="32" t="str">
        <f t="shared" si="2"/>
        <v/>
      </c>
      <c r="K21" s="13">
        <f>COUNTIFS(Checklist!$A$3:$A$149,$A21,Checklist!$D$3:$D$149,"P1",Checklist!$F$3:$F$149,"Partial",Checklist!$O$3:$O$149,"&lt;&gt;Parent summary - not scored separately")+COUNTIFS(Checklist!$A$3:$A$149,$A21,Checklist!$D$3:$D$149,"P1",Checklist!$F$3:$F$149,"No",Checklist!$O$3:$O$149,"&lt;&gt;Parent summary - not scored separately")</f>
        <v>0</v>
      </c>
      <c r="L21" s="13">
        <f>COUNTIFS(Checklist!$A$3:$A$149,$A21,Checklist!$D$3:$D$149,"P2",Checklist!$F$3:$F$149,"Partial",Checklist!$O$3:$O$149,"&lt;&gt;Parent summary - not scored separately")+COUNTIFS(Checklist!$A$3:$A$149,$A21,Checklist!$D$3:$D$149,"P2",Checklist!$F$3:$F$149,"No",Checklist!$O$3:$O$149,"&lt;&gt;Parent summary - not scored separately")+COUNTIFS(Checklist!$A$3:$A$149,$A21,Checklist!$D$3:$D$149,"P3",Checklist!$F$3:$F$149,"Partial",Checklist!$O$3:$O$149,"&lt;&gt;Parent summary - not scored separately")+COUNTIFS(Checklist!$A$3:$A$149,$A21,Checklist!$D$3:$D$149,"P3",Checklist!$F$3:$F$149,"No",Checklist!$O$3:$O$149,"&lt;&gt;Parent summary - not scored separately")</f>
        <v>0</v>
      </c>
      <c r="M21" s="13" t="str">
        <f t="shared" si="3"/>
        <v>Incomplete</v>
      </c>
      <c r="N21" s="27"/>
      <c r="AA21" s="59" t="s">
        <v>622</v>
      </c>
      <c r="AB21" s="60" t="str">
        <f t="shared" si="4"/>
        <v/>
      </c>
      <c r="AC21" s="59"/>
      <c r="AD21" s="59"/>
      <c r="AE21" s="59"/>
    </row>
    <row r="22" spans="1:31" ht="36" customHeight="1">
      <c r="A22" s="13">
        <v>7</v>
      </c>
      <c r="B22" s="67" t="s">
        <v>238</v>
      </c>
      <c r="C22" s="13">
        <f>COUNTIFS(Checklist!$A$3:$A$149,$A22,Checklist!$O$3:$O$149,"&lt;&gt;Parent summary - not scored separately")</f>
        <v>36</v>
      </c>
      <c r="D22" s="13">
        <f>COUNTIFS(Checklist!$A$3:$A$149,$A22,Checklist!$F$3:$F$149,"Yes",Checklist!$O$3:$O$149,"&lt;&gt;Parent summary - not scored separately")</f>
        <v>1</v>
      </c>
      <c r="E22" s="13">
        <f>COUNTIFS(Checklist!$A$3:$A$149,$A22,Checklist!$F$3:$F$149,"Partial",Checklist!$O$3:$O$149,"&lt;&gt;Parent summary - not scored separately")</f>
        <v>1</v>
      </c>
      <c r="F22" s="13">
        <f>COUNTIFS(Checklist!$A$3:$A$149,$A22,Checklist!$F$3:$F$149,"No",Checklist!$O$3:$O$149,"&lt;&gt;Parent summary - not scored separately")</f>
        <v>0</v>
      </c>
      <c r="G22" s="13">
        <f>COUNTIFS(Checklist!$A$3:$A$149,$A22,Checklist!$F$3:$F$149,"N/A",Checklist!$O$3:$O$149,"&lt;&gt;Parent summary - not scored separately")</f>
        <v>0</v>
      </c>
      <c r="H22" s="13">
        <f t="shared" si="0"/>
        <v>34</v>
      </c>
      <c r="I22" s="13">
        <f t="shared" si="1"/>
        <v>2</v>
      </c>
      <c r="J22" s="32">
        <f t="shared" si="2"/>
        <v>0.5</v>
      </c>
      <c r="K22" s="13">
        <f>COUNTIFS(Checklist!$A$3:$A$149,$A22,Checklist!$D$3:$D$149,"P1",Checklist!$F$3:$F$149,"Partial",Checklist!$O$3:$O$149,"&lt;&gt;Parent summary - not scored separately")+COUNTIFS(Checklist!$A$3:$A$149,$A22,Checklist!$D$3:$D$149,"P1",Checklist!$F$3:$F$149,"No",Checklist!$O$3:$O$149,"&lt;&gt;Parent summary - not scored separately")</f>
        <v>1</v>
      </c>
      <c r="L22" s="13">
        <f>COUNTIFS(Checklist!$A$3:$A$149,$A22,Checklist!$D$3:$D$149,"P2",Checklist!$F$3:$F$149,"Partial",Checklist!$O$3:$O$149,"&lt;&gt;Parent summary - not scored separately")+COUNTIFS(Checklist!$A$3:$A$149,$A22,Checklist!$D$3:$D$149,"P2",Checklist!$F$3:$F$149,"No",Checklist!$O$3:$O$149,"&lt;&gt;Parent summary - not scored separately")+COUNTIFS(Checklist!$A$3:$A$149,$A22,Checklist!$D$3:$D$149,"P3",Checklist!$F$3:$F$149,"Partial",Checklist!$O$3:$O$149,"&lt;&gt;Parent summary - not scored separately")+COUNTIFS(Checklist!$A$3:$A$149,$A22,Checklist!$D$3:$D$149,"P3",Checklist!$F$3:$F$149,"No",Checklist!$O$3:$O$149,"&lt;&gt;Parent summary - not scored separately")</f>
        <v>0</v>
      </c>
      <c r="M22" s="13" t="str">
        <f t="shared" si="3"/>
        <v>Incomplete</v>
      </c>
      <c r="N22" s="27"/>
      <c r="AA22" s="59" t="s">
        <v>623</v>
      </c>
      <c r="AB22" s="60">
        <f t="shared" si="4"/>
        <v>0.5</v>
      </c>
      <c r="AC22" s="59"/>
      <c r="AD22" s="59"/>
      <c r="AE22" s="59"/>
    </row>
    <row r="23" spans="1:31" ht="36" customHeight="1">
      <c r="A23" s="13">
        <v>8</v>
      </c>
      <c r="B23" s="67" t="s">
        <v>239</v>
      </c>
      <c r="C23" s="13">
        <f>COUNTIFS(Checklist!$A$3:$A$149,$A23,Checklist!$O$3:$O$149,"&lt;&gt;Parent summary - not scored separately")</f>
        <v>6</v>
      </c>
      <c r="D23" s="13">
        <f>COUNTIFS(Checklist!$A$3:$A$149,$A23,Checklist!$F$3:$F$149,"Yes",Checklist!$O$3:$O$149,"&lt;&gt;Parent summary - not scored separately")</f>
        <v>0</v>
      </c>
      <c r="E23" s="13">
        <f>COUNTIFS(Checklist!$A$3:$A$149,$A23,Checklist!$F$3:$F$149,"Partial",Checklist!$O$3:$O$149,"&lt;&gt;Parent summary - not scored separately")</f>
        <v>0</v>
      </c>
      <c r="F23" s="13">
        <f>COUNTIFS(Checklist!$A$3:$A$149,$A23,Checklist!$F$3:$F$149,"No",Checklist!$O$3:$O$149,"&lt;&gt;Parent summary - not scored separately")</f>
        <v>0</v>
      </c>
      <c r="G23" s="13">
        <f>COUNTIFS(Checklist!$A$3:$A$149,$A23,Checklist!$F$3:$F$149,"N/A",Checklist!$O$3:$O$149,"&lt;&gt;Parent summary - not scored separately")</f>
        <v>0</v>
      </c>
      <c r="H23" s="13">
        <f t="shared" si="0"/>
        <v>6</v>
      </c>
      <c r="I23" s="13">
        <f t="shared" si="1"/>
        <v>0</v>
      </c>
      <c r="J23" s="32" t="str">
        <f t="shared" si="2"/>
        <v/>
      </c>
      <c r="K23" s="13">
        <f>COUNTIFS(Checklist!$A$3:$A$149,$A23,Checklist!$D$3:$D$149,"P1",Checklist!$F$3:$F$149,"Partial",Checklist!$O$3:$O$149,"&lt;&gt;Parent summary - not scored separately")+COUNTIFS(Checklist!$A$3:$A$149,$A23,Checklist!$D$3:$D$149,"P1",Checklist!$F$3:$F$149,"No",Checklist!$O$3:$O$149,"&lt;&gt;Parent summary - not scored separately")</f>
        <v>0</v>
      </c>
      <c r="L23" s="13">
        <f>COUNTIFS(Checklist!$A$3:$A$149,$A23,Checklist!$D$3:$D$149,"P2",Checklist!$F$3:$F$149,"Partial",Checklist!$O$3:$O$149,"&lt;&gt;Parent summary - not scored separately")+COUNTIFS(Checklist!$A$3:$A$149,$A23,Checklist!$D$3:$D$149,"P2",Checklist!$F$3:$F$149,"No",Checklist!$O$3:$O$149,"&lt;&gt;Parent summary - not scored separately")+COUNTIFS(Checklist!$A$3:$A$149,$A23,Checklist!$D$3:$D$149,"P3",Checklist!$F$3:$F$149,"Partial",Checklist!$O$3:$O$149,"&lt;&gt;Parent summary - not scored separately")+COUNTIFS(Checklist!$A$3:$A$149,$A23,Checklist!$D$3:$D$149,"P3",Checklist!$F$3:$F$149,"No",Checklist!$O$3:$O$149,"&lt;&gt;Parent summary - not scored separately")</f>
        <v>0</v>
      </c>
      <c r="M23" s="13" t="str">
        <f t="shared" si="3"/>
        <v>Incomplete</v>
      </c>
      <c r="N23" s="27"/>
      <c r="AA23" s="59" t="s">
        <v>624</v>
      </c>
      <c r="AB23" s="60" t="str">
        <f t="shared" si="4"/>
        <v/>
      </c>
      <c r="AC23" s="59"/>
      <c r="AD23" s="59"/>
      <c r="AE23" s="59"/>
    </row>
    <row r="24" spans="1:31" ht="36" customHeight="1">
      <c r="A24" s="13">
        <v>9</v>
      </c>
      <c r="B24" s="67" t="s">
        <v>240</v>
      </c>
      <c r="C24" s="13">
        <f>COUNTIFS(Checklist!$A$3:$A$149,$A24,Checklist!$O$3:$O$149,"&lt;&gt;Parent summary - not scored separately")</f>
        <v>6</v>
      </c>
      <c r="D24" s="13">
        <f>COUNTIFS(Checklist!$A$3:$A$149,$A24,Checklist!$F$3:$F$149,"Yes",Checklist!$O$3:$O$149,"&lt;&gt;Parent summary - not scored separately")</f>
        <v>0</v>
      </c>
      <c r="E24" s="13">
        <f>COUNTIFS(Checklist!$A$3:$A$149,$A24,Checklist!$F$3:$F$149,"Partial",Checklist!$O$3:$O$149,"&lt;&gt;Parent summary - not scored separately")</f>
        <v>0</v>
      </c>
      <c r="F24" s="13">
        <f>COUNTIFS(Checklist!$A$3:$A$149,$A24,Checklist!$F$3:$F$149,"No",Checklist!$O$3:$O$149,"&lt;&gt;Parent summary - not scored separately")</f>
        <v>0</v>
      </c>
      <c r="G24" s="13">
        <f>COUNTIFS(Checklist!$A$3:$A$149,$A24,Checklist!$F$3:$F$149,"N/A",Checklist!$O$3:$O$149,"&lt;&gt;Parent summary - not scored separately")</f>
        <v>0</v>
      </c>
      <c r="H24" s="13">
        <f t="shared" si="0"/>
        <v>6</v>
      </c>
      <c r="I24" s="13">
        <f t="shared" si="1"/>
        <v>0</v>
      </c>
      <c r="J24" s="32" t="str">
        <f t="shared" si="2"/>
        <v/>
      </c>
      <c r="K24" s="13">
        <f>COUNTIFS(Checklist!$A$3:$A$149,$A24,Checklist!$D$3:$D$149,"P1",Checklist!$F$3:$F$149,"Partial",Checklist!$O$3:$O$149,"&lt;&gt;Parent summary - not scored separately")+COUNTIFS(Checklist!$A$3:$A$149,$A24,Checklist!$D$3:$D$149,"P1",Checklist!$F$3:$F$149,"No",Checklist!$O$3:$O$149,"&lt;&gt;Parent summary - not scored separately")</f>
        <v>0</v>
      </c>
      <c r="L24" s="13">
        <f>COUNTIFS(Checklist!$A$3:$A$149,$A24,Checklist!$D$3:$D$149,"P2",Checklist!$F$3:$F$149,"Partial",Checklist!$O$3:$O$149,"&lt;&gt;Parent summary - not scored separately")+COUNTIFS(Checklist!$A$3:$A$149,$A24,Checklist!$D$3:$D$149,"P2",Checklist!$F$3:$F$149,"No",Checklist!$O$3:$O$149,"&lt;&gt;Parent summary - not scored separately")+COUNTIFS(Checklist!$A$3:$A$149,$A24,Checklist!$D$3:$D$149,"P3",Checklist!$F$3:$F$149,"Partial",Checklist!$O$3:$O$149,"&lt;&gt;Parent summary - not scored separately")+COUNTIFS(Checklist!$A$3:$A$149,$A24,Checklist!$D$3:$D$149,"P3",Checklist!$F$3:$F$149,"No",Checklist!$O$3:$O$149,"&lt;&gt;Parent summary - not scored separately")</f>
        <v>0</v>
      </c>
      <c r="M24" s="13" t="str">
        <f t="shared" si="3"/>
        <v>Incomplete</v>
      </c>
      <c r="N24" s="27"/>
      <c r="AA24" s="59" t="s">
        <v>625</v>
      </c>
      <c r="AB24" s="60" t="str">
        <f t="shared" si="4"/>
        <v/>
      </c>
      <c r="AC24" s="59"/>
      <c r="AD24" s="59"/>
      <c r="AE24" s="59"/>
    </row>
    <row r="25" spans="1:31" ht="36" customHeight="1">
      <c r="A25" s="13">
        <v>10</v>
      </c>
      <c r="B25" s="67" t="s">
        <v>241</v>
      </c>
      <c r="C25" s="13">
        <f>COUNTIFS(Checklist!$A$3:$A$149,$A25,Checklist!$O$3:$O$149,"&lt;&gt;Parent summary - not scored separately")</f>
        <v>7</v>
      </c>
      <c r="D25" s="13">
        <f>COUNTIFS(Checklist!$A$3:$A$149,$A25,Checklist!$F$3:$F$149,"Yes",Checklist!$O$3:$O$149,"&lt;&gt;Parent summary - not scored separately")</f>
        <v>0</v>
      </c>
      <c r="E25" s="13">
        <f>COUNTIFS(Checklist!$A$3:$A$149,$A25,Checklist!$F$3:$F$149,"Partial",Checklist!$O$3:$O$149,"&lt;&gt;Parent summary - not scored separately")</f>
        <v>0</v>
      </c>
      <c r="F25" s="13">
        <f>COUNTIFS(Checklist!$A$3:$A$149,$A25,Checklist!$F$3:$F$149,"No",Checklist!$O$3:$O$149,"&lt;&gt;Parent summary - not scored separately")</f>
        <v>0</v>
      </c>
      <c r="G25" s="13">
        <f>COUNTIFS(Checklist!$A$3:$A$149,$A25,Checklist!$F$3:$F$149,"N/A",Checklist!$O$3:$O$149,"&lt;&gt;Parent summary - not scored separately")</f>
        <v>0</v>
      </c>
      <c r="H25" s="13">
        <f t="shared" si="0"/>
        <v>7</v>
      </c>
      <c r="I25" s="13">
        <f t="shared" si="1"/>
        <v>0</v>
      </c>
      <c r="J25" s="32" t="str">
        <f t="shared" si="2"/>
        <v/>
      </c>
      <c r="K25" s="13">
        <f>COUNTIFS(Checklist!$A$3:$A$149,$A25,Checklist!$D$3:$D$149,"P1",Checklist!$F$3:$F$149,"Partial",Checklist!$O$3:$O$149,"&lt;&gt;Parent summary - not scored separately")+COUNTIFS(Checklist!$A$3:$A$149,$A25,Checklist!$D$3:$D$149,"P1",Checklist!$F$3:$F$149,"No",Checklist!$O$3:$O$149,"&lt;&gt;Parent summary - not scored separately")</f>
        <v>0</v>
      </c>
      <c r="L25" s="13">
        <f>COUNTIFS(Checklist!$A$3:$A$149,$A25,Checklist!$D$3:$D$149,"P2",Checklist!$F$3:$F$149,"Partial",Checklist!$O$3:$O$149,"&lt;&gt;Parent summary - not scored separately")+COUNTIFS(Checklist!$A$3:$A$149,$A25,Checklist!$D$3:$D$149,"P2",Checklist!$F$3:$F$149,"No",Checklist!$O$3:$O$149,"&lt;&gt;Parent summary - not scored separately")+COUNTIFS(Checklist!$A$3:$A$149,$A25,Checklist!$D$3:$D$149,"P3",Checklist!$F$3:$F$149,"Partial",Checklist!$O$3:$O$149,"&lt;&gt;Parent summary - not scored separately")+COUNTIFS(Checklist!$A$3:$A$149,$A25,Checklist!$D$3:$D$149,"P3",Checklist!$F$3:$F$149,"No",Checklist!$O$3:$O$149,"&lt;&gt;Parent summary - not scored separately")</f>
        <v>0</v>
      </c>
      <c r="M25" s="13" t="str">
        <f t="shared" si="3"/>
        <v>Incomplete</v>
      </c>
      <c r="N25" s="27"/>
      <c r="AA25" s="59" t="s">
        <v>626</v>
      </c>
      <c r="AB25" s="60" t="str">
        <f t="shared" si="4"/>
        <v/>
      </c>
      <c r="AC25" s="59"/>
      <c r="AD25" s="59"/>
      <c r="AE25" s="59"/>
    </row>
    <row r="26" spans="1:31" ht="36" customHeight="1">
      <c r="A26" s="13">
        <v>11</v>
      </c>
      <c r="B26" s="67" t="s">
        <v>242</v>
      </c>
      <c r="C26" s="13">
        <f>COUNTIFS(Checklist!$A$3:$A$149,$A26,Checklist!$O$3:$O$149,"&lt;&gt;Parent summary - not scored separately")</f>
        <v>6</v>
      </c>
      <c r="D26" s="13">
        <f>COUNTIFS(Checklist!$A$3:$A$149,$A26,Checklist!$F$3:$F$149,"Yes",Checklist!$O$3:$O$149,"&lt;&gt;Parent summary - not scored separately")</f>
        <v>0</v>
      </c>
      <c r="E26" s="13">
        <f>COUNTIFS(Checklist!$A$3:$A$149,$A26,Checklist!$F$3:$F$149,"Partial",Checklist!$O$3:$O$149,"&lt;&gt;Parent summary - not scored separately")</f>
        <v>0</v>
      </c>
      <c r="F26" s="13">
        <f>COUNTIFS(Checklist!$A$3:$A$149,$A26,Checklist!$F$3:$F$149,"No",Checklist!$O$3:$O$149,"&lt;&gt;Parent summary - not scored separately")</f>
        <v>0</v>
      </c>
      <c r="G26" s="13">
        <f>COUNTIFS(Checklist!$A$3:$A$149,$A26,Checklist!$F$3:$F$149,"N/A",Checklist!$O$3:$O$149,"&lt;&gt;Parent summary - not scored separately")</f>
        <v>0</v>
      </c>
      <c r="H26" s="13">
        <f t="shared" si="0"/>
        <v>6</v>
      </c>
      <c r="I26" s="13">
        <f t="shared" si="1"/>
        <v>0</v>
      </c>
      <c r="J26" s="32" t="str">
        <f t="shared" si="2"/>
        <v/>
      </c>
      <c r="K26" s="13">
        <f>COUNTIFS(Checklist!$A$3:$A$149,$A26,Checklist!$D$3:$D$149,"P1",Checklist!$F$3:$F$149,"Partial",Checklist!$O$3:$O$149,"&lt;&gt;Parent summary - not scored separately")+COUNTIFS(Checklist!$A$3:$A$149,$A26,Checklist!$D$3:$D$149,"P1",Checklist!$F$3:$F$149,"No",Checklist!$O$3:$O$149,"&lt;&gt;Parent summary - not scored separately")</f>
        <v>0</v>
      </c>
      <c r="L26" s="13">
        <f>COUNTIFS(Checklist!$A$3:$A$149,$A26,Checklist!$D$3:$D$149,"P2",Checklist!$F$3:$F$149,"Partial",Checklist!$O$3:$O$149,"&lt;&gt;Parent summary - not scored separately")+COUNTIFS(Checklist!$A$3:$A$149,$A26,Checklist!$D$3:$D$149,"P2",Checklist!$F$3:$F$149,"No",Checklist!$O$3:$O$149,"&lt;&gt;Parent summary - not scored separately")+COUNTIFS(Checklist!$A$3:$A$149,$A26,Checklist!$D$3:$D$149,"P3",Checklist!$F$3:$F$149,"Partial",Checklist!$O$3:$O$149,"&lt;&gt;Parent summary - not scored separately")+COUNTIFS(Checklist!$A$3:$A$149,$A26,Checklist!$D$3:$D$149,"P3",Checklist!$F$3:$F$149,"No",Checklist!$O$3:$O$149,"&lt;&gt;Parent summary - not scored separately")</f>
        <v>0</v>
      </c>
      <c r="M26" s="13" t="str">
        <f t="shared" si="3"/>
        <v>Incomplete</v>
      </c>
      <c r="N26" s="27"/>
      <c r="AA26" s="59" t="s">
        <v>627</v>
      </c>
      <c r="AB26" s="60" t="str">
        <f t="shared" si="4"/>
        <v/>
      </c>
      <c r="AC26" s="59"/>
      <c r="AD26" s="59"/>
      <c r="AE26" s="59"/>
    </row>
    <row r="27" spans="1:31" ht="36" customHeight="1">
      <c r="A27" s="13">
        <v>12</v>
      </c>
      <c r="B27" s="67" t="s">
        <v>243</v>
      </c>
      <c r="C27" s="13">
        <f>COUNTIFS(Checklist!$A$3:$A$149,$A27,Checklist!$O$3:$O$149,"&lt;&gt;Parent summary - not scored separately")</f>
        <v>7</v>
      </c>
      <c r="D27" s="13">
        <f>COUNTIFS(Checklist!$A$3:$A$149,$A27,Checklist!$F$3:$F$149,"Yes",Checklist!$O$3:$O$149,"&lt;&gt;Parent summary - not scored separately")</f>
        <v>0</v>
      </c>
      <c r="E27" s="13">
        <f>COUNTIFS(Checklist!$A$3:$A$149,$A27,Checklist!$F$3:$F$149,"Partial",Checklist!$O$3:$O$149,"&lt;&gt;Parent summary - not scored separately")</f>
        <v>0</v>
      </c>
      <c r="F27" s="13">
        <f>COUNTIFS(Checklist!$A$3:$A$149,$A27,Checklist!$F$3:$F$149,"No",Checklist!$O$3:$O$149,"&lt;&gt;Parent summary - not scored separately")</f>
        <v>0</v>
      </c>
      <c r="G27" s="13">
        <f>COUNTIFS(Checklist!$A$3:$A$149,$A27,Checklist!$F$3:$F$149,"N/A",Checklist!$O$3:$O$149,"&lt;&gt;Parent summary - not scored separately")</f>
        <v>0</v>
      </c>
      <c r="H27" s="13">
        <f t="shared" si="0"/>
        <v>7</v>
      </c>
      <c r="I27" s="13">
        <f t="shared" si="1"/>
        <v>0</v>
      </c>
      <c r="J27" s="32" t="str">
        <f t="shared" si="2"/>
        <v/>
      </c>
      <c r="K27" s="13">
        <f>COUNTIFS(Checklist!$A$3:$A$149,$A27,Checklist!$D$3:$D$149,"P1",Checklist!$F$3:$F$149,"Partial",Checklist!$O$3:$O$149,"&lt;&gt;Parent summary - not scored separately")+COUNTIFS(Checklist!$A$3:$A$149,$A27,Checklist!$D$3:$D$149,"P1",Checklist!$F$3:$F$149,"No",Checklist!$O$3:$O$149,"&lt;&gt;Parent summary - not scored separately")</f>
        <v>0</v>
      </c>
      <c r="L27" s="13">
        <f>COUNTIFS(Checklist!$A$3:$A$149,$A27,Checklist!$D$3:$D$149,"P2",Checklist!$F$3:$F$149,"Partial",Checklist!$O$3:$O$149,"&lt;&gt;Parent summary - not scored separately")+COUNTIFS(Checklist!$A$3:$A$149,$A27,Checklist!$D$3:$D$149,"P2",Checklist!$F$3:$F$149,"No",Checklist!$O$3:$O$149,"&lt;&gt;Parent summary - not scored separately")+COUNTIFS(Checklist!$A$3:$A$149,$A27,Checklist!$D$3:$D$149,"P3",Checklist!$F$3:$F$149,"Partial",Checklist!$O$3:$O$149,"&lt;&gt;Parent summary - not scored separately")+COUNTIFS(Checklist!$A$3:$A$149,$A27,Checklist!$D$3:$D$149,"P3",Checklist!$F$3:$F$149,"No",Checklist!$O$3:$O$149,"&lt;&gt;Parent summary - not scored separately")</f>
        <v>0</v>
      </c>
      <c r="M27" s="13" t="str">
        <f t="shared" si="3"/>
        <v>Incomplete</v>
      </c>
      <c r="N27" s="27"/>
      <c r="AA27" s="59" t="s">
        <v>628</v>
      </c>
      <c r="AB27" s="60" t="str">
        <f t="shared" si="4"/>
        <v/>
      </c>
      <c r="AC27" s="59"/>
      <c r="AD27" s="59"/>
      <c r="AE27" s="59"/>
    </row>
    <row r="28" spans="1:31" ht="36" customHeight="1">
      <c r="A28" s="13">
        <v>13</v>
      </c>
      <c r="B28" s="67" t="s">
        <v>244</v>
      </c>
      <c r="C28" s="13">
        <f>COUNTIFS(Checklist!$A$3:$A$149,$A28,Checklist!$O$3:$O$149,"&lt;&gt;Parent summary - not scored separately")</f>
        <v>7</v>
      </c>
      <c r="D28" s="13">
        <f>COUNTIFS(Checklist!$A$3:$A$149,$A28,Checklist!$F$3:$F$149,"Yes",Checklist!$O$3:$O$149,"&lt;&gt;Parent summary - not scored separately")</f>
        <v>0</v>
      </c>
      <c r="E28" s="13">
        <f>COUNTIFS(Checklist!$A$3:$A$149,$A28,Checklist!$F$3:$F$149,"Partial",Checklist!$O$3:$O$149,"&lt;&gt;Parent summary - not scored separately")</f>
        <v>0</v>
      </c>
      <c r="F28" s="13">
        <f>COUNTIFS(Checklist!$A$3:$A$149,$A28,Checklist!$F$3:$F$149,"No",Checklist!$O$3:$O$149,"&lt;&gt;Parent summary - not scored separately")</f>
        <v>0</v>
      </c>
      <c r="G28" s="13">
        <f>COUNTIFS(Checklist!$A$3:$A$149,$A28,Checklist!$F$3:$F$149,"N/A",Checklist!$O$3:$O$149,"&lt;&gt;Parent summary - not scored separately")</f>
        <v>0</v>
      </c>
      <c r="H28" s="13">
        <f t="shared" si="0"/>
        <v>7</v>
      </c>
      <c r="I28" s="13">
        <f t="shared" si="1"/>
        <v>0</v>
      </c>
      <c r="J28" s="32" t="str">
        <f t="shared" si="2"/>
        <v/>
      </c>
      <c r="K28" s="13">
        <f>COUNTIFS(Checklist!$A$3:$A$149,$A28,Checklist!$D$3:$D$149,"P1",Checklist!$F$3:$F$149,"Partial",Checklist!$O$3:$O$149,"&lt;&gt;Parent summary - not scored separately")+COUNTIFS(Checklist!$A$3:$A$149,$A28,Checklist!$D$3:$D$149,"P1",Checklist!$F$3:$F$149,"No",Checklist!$O$3:$O$149,"&lt;&gt;Parent summary - not scored separately")</f>
        <v>0</v>
      </c>
      <c r="L28" s="13">
        <f>COUNTIFS(Checklist!$A$3:$A$149,$A28,Checklist!$D$3:$D$149,"P2",Checklist!$F$3:$F$149,"Partial",Checklist!$O$3:$O$149,"&lt;&gt;Parent summary - not scored separately")+COUNTIFS(Checklist!$A$3:$A$149,$A28,Checklist!$D$3:$D$149,"P2",Checklist!$F$3:$F$149,"No",Checklist!$O$3:$O$149,"&lt;&gt;Parent summary - not scored separately")+COUNTIFS(Checklist!$A$3:$A$149,$A28,Checklist!$D$3:$D$149,"P3",Checklist!$F$3:$F$149,"Partial",Checklist!$O$3:$O$149,"&lt;&gt;Parent summary - not scored separately")+COUNTIFS(Checklist!$A$3:$A$149,$A28,Checklist!$D$3:$D$149,"P3",Checklist!$F$3:$F$149,"No",Checklist!$O$3:$O$149,"&lt;&gt;Parent summary - not scored separately")</f>
        <v>0</v>
      </c>
      <c r="M28" s="13" t="str">
        <f t="shared" si="3"/>
        <v>Incomplete</v>
      </c>
      <c r="N28" s="27"/>
      <c r="AA28" s="59" t="s">
        <v>629</v>
      </c>
      <c r="AB28" s="60" t="str">
        <f t="shared" si="4"/>
        <v/>
      </c>
      <c r="AC28" s="59"/>
      <c r="AD28" s="59"/>
      <c r="AE28" s="59"/>
    </row>
    <row r="29" spans="1:31" ht="36" customHeight="1">
      <c r="A29" s="13">
        <v>14</v>
      </c>
      <c r="B29" s="67" t="s">
        <v>245</v>
      </c>
      <c r="C29" s="13">
        <f>COUNTIFS(Checklist!$A$3:$A$149,$A29,Checklist!$O$3:$O$149,"&lt;&gt;Parent summary - not scored separately")</f>
        <v>7</v>
      </c>
      <c r="D29" s="13">
        <f>COUNTIFS(Checklist!$A$3:$A$149,$A29,Checklist!$F$3:$F$149,"Yes",Checklist!$O$3:$O$149,"&lt;&gt;Parent summary - not scored separately")</f>
        <v>0</v>
      </c>
      <c r="E29" s="13">
        <f>COUNTIFS(Checklist!$A$3:$A$149,$A29,Checklist!$F$3:$F$149,"Partial",Checklist!$O$3:$O$149,"&lt;&gt;Parent summary - not scored separately")</f>
        <v>0</v>
      </c>
      <c r="F29" s="13">
        <f>COUNTIFS(Checklist!$A$3:$A$149,$A29,Checklist!$F$3:$F$149,"No",Checklist!$O$3:$O$149,"&lt;&gt;Parent summary - not scored separately")</f>
        <v>0</v>
      </c>
      <c r="G29" s="13">
        <f>COUNTIFS(Checklist!$A$3:$A$149,$A29,Checklist!$F$3:$F$149,"N/A",Checklist!$O$3:$O$149,"&lt;&gt;Parent summary - not scored separately")</f>
        <v>0</v>
      </c>
      <c r="H29" s="13">
        <f t="shared" si="0"/>
        <v>7</v>
      </c>
      <c r="I29" s="13">
        <f t="shared" si="1"/>
        <v>0</v>
      </c>
      <c r="J29" s="32" t="str">
        <f t="shared" si="2"/>
        <v/>
      </c>
      <c r="K29" s="13">
        <f>COUNTIFS(Checklist!$A$3:$A$149,$A29,Checklist!$D$3:$D$149,"P1",Checklist!$F$3:$F$149,"Partial",Checklist!$O$3:$O$149,"&lt;&gt;Parent summary - not scored separately")+COUNTIFS(Checklist!$A$3:$A$149,$A29,Checklist!$D$3:$D$149,"P1",Checklist!$F$3:$F$149,"No",Checklist!$O$3:$O$149,"&lt;&gt;Parent summary - not scored separately")</f>
        <v>0</v>
      </c>
      <c r="L29" s="13">
        <f>COUNTIFS(Checklist!$A$3:$A$149,$A29,Checklist!$D$3:$D$149,"P2",Checklist!$F$3:$F$149,"Partial",Checklist!$O$3:$O$149,"&lt;&gt;Parent summary - not scored separately")+COUNTIFS(Checklist!$A$3:$A$149,$A29,Checklist!$D$3:$D$149,"P2",Checklist!$F$3:$F$149,"No",Checklist!$O$3:$O$149,"&lt;&gt;Parent summary - not scored separately")+COUNTIFS(Checklist!$A$3:$A$149,$A29,Checklist!$D$3:$D$149,"P3",Checklist!$F$3:$F$149,"Partial",Checklist!$O$3:$O$149,"&lt;&gt;Parent summary - not scored separately")+COUNTIFS(Checklist!$A$3:$A$149,$A29,Checklist!$D$3:$D$149,"P3",Checklist!$F$3:$F$149,"No",Checklist!$O$3:$O$149,"&lt;&gt;Parent summary - not scored separately")</f>
        <v>0</v>
      </c>
      <c r="M29" s="13" t="str">
        <f t="shared" si="3"/>
        <v>Incomplete</v>
      </c>
      <c r="N29" s="27"/>
      <c r="AA29" s="59" t="s">
        <v>630</v>
      </c>
      <c r="AB29" s="60" t="str">
        <f t="shared" si="4"/>
        <v/>
      </c>
      <c r="AC29" s="59"/>
      <c r="AD29" s="59"/>
      <c r="AE29" s="59"/>
    </row>
    <row r="30" spans="1:31">
      <c r="A30" s="13">
        <v>15</v>
      </c>
      <c r="B30" s="67" t="s">
        <v>246</v>
      </c>
      <c r="C30" s="13">
        <f>COUNTIFS(Checklist!$A$3:$A$149,$A30,Checklist!$O$3:$O$149,"&lt;&gt;Parent summary - not scored separately")</f>
        <v>7</v>
      </c>
      <c r="D30" s="13">
        <f>COUNTIFS(Checklist!$A$3:$A$149,$A30,Checklist!$F$3:$F$149,"Yes",Checklist!$O$3:$O$149,"&lt;&gt;Parent summary - not scored separately")</f>
        <v>0</v>
      </c>
      <c r="E30" s="13">
        <f>COUNTIFS(Checklist!$A$3:$A$149,$A30,Checklist!$F$3:$F$149,"Partial",Checklist!$O$3:$O$149,"&lt;&gt;Parent summary - not scored separately")</f>
        <v>0</v>
      </c>
      <c r="F30" s="13">
        <f>COUNTIFS(Checklist!$A$3:$A$149,$A30,Checklist!$F$3:$F$149,"No",Checklist!$O$3:$O$149,"&lt;&gt;Parent summary - not scored separately")</f>
        <v>0</v>
      </c>
      <c r="G30" s="13">
        <f>COUNTIFS(Checklist!$A$3:$A$149,$A30,Checklist!$F$3:$F$149,"N/A",Checklist!$O$3:$O$149,"&lt;&gt;Parent summary - not scored separately")</f>
        <v>0</v>
      </c>
      <c r="H30" s="13">
        <f t="shared" si="0"/>
        <v>7</v>
      </c>
      <c r="I30" s="13">
        <f t="shared" si="1"/>
        <v>0</v>
      </c>
      <c r="J30" s="32" t="str">
        <f t="shared" si="2"/>
        <v/>
      </c>
      <c r="K30" s="13">
        <f>COUNTIFS(Checklist!$A$3:$A$149,$A30,Checklist!$D$3:$D$149,"P1",Checklist!$F$3:$F$149,"Partial",Checklist!$O$3:$O$149,"&lt;&gt;Parent summary - not scored separately")+COUNTIFS(Checklist!$A$3:$A$149,$A30,Checklist!$D$3:$D$149,"P1",Checklist!$F$3:$F$149,"No",Checklist!$O$3:$O$149,"&lt;&gt;Parent summary - not scored separately")</f>
        <v>0</v>
      </c>
      <c r="L30" s="13">
        <f>COUNTIFS(Checklist!$A$3:$A$149,$A30,Checklist!$D$3:$D$149,"P2",Checklist!$F$3:$F$149,"Partial",Checklist!$O$3:$O$149,"&lt;&gt;Parent summary - not scored separately")+COUNTIFS(Checklist!$A$3:$A$149,$A30,Checklist!$D$3:$D$149,"P2",Checklist!$F$3:$F$149,"No",Checklist!$O$3:$O$149,"&lt;&gt;Parent summary - not scored separately")+COUNTIFS(Checklist!$A$3:$A$149,$A30,Checklist!$D$3:$D$149,"P3",Checklist!$F$3:$F$149,"Partial",Checklist!$O$3:$O$149,"&lt;&gt;Parent summary - not scored separately")+COUNTIFS(Checklist!$A$3:$A$149,$A30,Checklist!$D$3:$D$149,"P3",Checklist!$F$3:$F$149,"No",Checklist!$O$3:$O$149,"&lt;&gt;Parent summary - not scored separately")</f>
        <v>0</v>
      </c>
      <c r="M30" s="13" t="str">
        <f t="shared" si="3"/>
        <v>Incomplete</v>
      </c>
      <c r="N30" s="27"/>
      <c r="AA30" s="59" t="s">
        <v>631</v>
      </c>
      <c r="AB30" s="60" t="str">
        <f t="shared" si="4"/>
        <v/>
      </c>
      <c r="AC30" s="59"/>
      <c r="AD30" s="59"/>
      <c r="AE30" s="59"/>
    </row>
    <row r="31" spans="1:31">
      <c r="A31" s="13">
        <v>16</v>
      </c>
      <c r="B31" s="67" t="s">
        <v>247</v>
      </c>
      <c r="C31" s="13">
        <f>COUNTIFS(Checklist!$A$3:$A$149,$A31,Checklist!$O$3:$O$149,"&lt;&gt;Parent summary - not scored separately")</f>
        <v>7</v>
      </c>
      <c r="D31" s="13">
        <f>COUNTIFS(Checklist!$A$3:$A$149,$A31,Checklist!$F$3:$F$149,"Yes",Checklist!$O$3:$O$149,"&lt;&gt;Parent summary - not scored separately")</f>
        <v>0</v>
      </c>
      <c r="E31" s="13">
        <f>COUNTIFS(Checklist!$A$3:$A$149,$A31,Checklist!$F$3:$F$149,"Partial",Checklist!$O$3:$O$149,"&lt;&gt;Parent summary - not scored separately")</f>
        <v>0</v>
      </c>
      <c r="F31" s="13">
        <f>COUNTIFS(Checklist!$A$3:$A$149,$A31,Checklist!$F$3:$F$149,"No",Checklist!$O$3:$O$149,"&lt;&gt;Parent summary - not scored separately")</f>
        <v>0</v>
      </c>
      <c r="G31" s="13">
        <f>COUNTIFS(Checklist!$A$3:$A$149,$A31,Checklist!$F$3:$F$149,"N/A",Checklist!$O$3:$O$149,"&lt;&gt;Parent summary - not scored separately")</f>
        <v>0</v>
      </c>
      <c r="H31" s="13">
        <f t="shared" si="0"/>
        <v>7</v>
      </c>
      <c r="I31" s="13">
        <f t="shared" si="1"/>
        <v>0</v>
      </c>
      <c r="J31" s="32" t="str">
        <f t="shared" si="2"/>
        <v/>
      </c>
      <c r="K31" s="13">
        <f>COUNTIFS(Checklist!$A$3:$A$149,$A31,Checklist!$D$3:$D$149,"P1",Checklist!$F$3:$F$149,"Partial",Checklist!$O$3:$O$149,"&lt;&gt;Parent summary - not scored separately")+COUNTIFS(Checklist!$A$3:$A$149,$A31,Checklist!$D$3:$D$149,"P1",Checklist!$F$3:$F$149,"No",Checklist!$O$3:$O$149,"&lt;&gt;Parent summary - not scored separately")</f>
        <v>0</v>
      </c>
      <c r="L31" s="13">
        <f>COUNTIFS(Checklist!$A$3:$A$149,$A31,Checklist!$D$3:$D$149,"P2",Checklist!$F$3:$F$149,"Partial",Checklist!$O$3:$O$149,"&lt;&gt;Parent summary - not scored separately")+COUNTIFS(Checklist!$A$3:$A$149,$A31,Checklist!$D$3:$D$149,"P2",Checklist!$F$3:$F$149,"No",Checklist!$O$3:$O$149,"&lt;&gt;Parent summary - not scored separately")+COUNTIFS(Checklist!$A$3:$A$149,$A31,Checklist!$D$3:$D$149,"P3",Checklist!$F$3:$F$149,"Partial",Checklist!$O$3:$O$149,"&lt;&gt;Parent summary - not scored separately")+COUNTIFS(Checklist!$A$3:$A$149,$A31,Checklist!$D$3:$D$149,"P3",Checklist!$F$3:$F$149,"No",Checklist!$O$3:$O$149,"&lt;&gt;Parent summary - not scored separately")</f>
        <v>0</v>
      </c>
      <c r="M31" s="13" t="str">
        <f t="shared" si="3"/>
        <v>Incomplete</v>
      </c>
      <c r="N31" s="27"/>
      <c r="AA31" s="59" t="s">
        <v>632</v>
      </c>
      <c r="AB31" s="60" t="str">
        <f t="shared" si="4"/>
        <v/>
      </c>
      <c r="AC31" s="59"/>
      <c r="AD31" s="59"/>
      <c r="AE31" s="59"/>
    </row>
    <row r="32" spans="1:31" ht="33.950000000000003" customHeight="1">
      <c r="A32" s="57" t="s">
        <v>248</v>
      </c>
      <c r="B32" s="57" t="s">
        <v>249</v>
      </c>
      <c r="C32" s="58">
        <f t="shared" ref="C32:I32" si="5">SUM(C16:C31)</f>
        <v>141</v>
      </c>
      <c r="D32" s="58">
        <f t="shared" si="5"/>
        <v>1</v>
      </c>
      <c r="E32" s="58">
        <f t="shared" si="5"/>
        <v>1</v>
      </c>
      <c r="F32" s="58">
        <f t="shared" si="5"/>
        <v>0</v>
      </c>
      <c r="G32" s="58">
        <f t="shared" si="5"/>
        <v>0</v>
      </c>
      <c r="H32" s="58">
        <f t="shared" si="5"/>
        <v>139</v>
      </c>
      <c r="I32" s="58">
        <f t="shared" si="5"/>
        <v>2</v>
      </c>
      <c r="J32" s="62">
        <f t="shared" si="2"/>
        <v>0.5</v>
      </c>
      <c r="K32" s="58">
        <f>SUM(K16:K31)</f>
        <v>1</v>
      </c>
      <c r="L32" s="58">
        <f>SUM(L16:L31)</f>
        <v>0</v>
      </c>
      <c r="M32" s="57" t="str">
        <f>$B$12</f>
        <v>Incomplete - complete all responses</v>
      </c>
      <c r="N32" s="57" t="str">
        <f>IF($B$10&gt;0,"Complete all missing responses before final interpretation",IF($B$9=0,"No readiness gaps recorded","See Action_Plan for "&amp;$B$9&amp;" gap(s)"))</f>
        <v>Complete all missing responses before final interpretation</v>
      </c>
      <c r="AA32" s="59"/>
      <c r="AB32" s="59"/>
      <c r="AC32" s="59"/>
      <c r="AD32" s="59"/>
      <c r="AE32" s="59"/>
    </row>
    <row r="33" spans="1:31">
      <c r="AA33" s="59"/>
      <c r="AB33" s="59"/>
      <c r="AC33" s="59"/>
      <c r="AD33" s="59"/>
      <c r="AE33" s="59"/>
    </row>
    <row r="34" spans="1:31" ht="24" customHeight="1">
      <c r="A34" s="100" t="s">
        <v>250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59"/>
      <c r="AB34" s="59"/>
      <c r="AC34" s="59"/>
      <c r="AD34" s="59"/>
      <c r="AE34" s="59"/>
    </row>
    <row r="35" spans="1:31" ht="21.95" customHeight="1">
      <c r="AA35" s="59" t="s">
        <v>51</v>
      </c>
      <c r="AB35" s="59" t="s">
        <v>633</v>
      </c>
      <c r="AC35" s="59"/>
      <c r="AD35" s="59" t="s">
        <v>195</v>
      </c>
      <c r="AE35" s="59" t="s">
        <v>634</v>
      </c>
    </row>
    <row r="36" spans="1:31" ht="21.95" customHeight="1">
      <c r="AA36" s="59" t="s">
        <v>223</v>
      </c>
      <c r="AB36" s="61">
        <f>$D$32</f>
        <v>1</v>
      </c>
      <c r="AC36" s="59"/>
      <c r="AD36" s="59" t="s">
        <v>635</v>
      </c>
      <c r="AE36" s="60">
        <f>IF($B$6=0,"",$B$5)</f>
        <v>0.5</v>
      </c>
    </row>
    <row r="37" spans="1:31" ht="21.95" customHeight="1">
      <c r="AA37" s="59" t="s">
        <v>224</v>
      </c>
      <c r="AB37" s="61">
        <f>$E$32</f>
        <v>1</v>
      </c>
      <c r="AC37" s="59"/>
      <c r="AD37" s="59" t="s">
        <v>636</v>
      </c>
      <c r="AE37" s="60">
        <f>$B$7</f>
        <v>1.4184397163120567E-2</v>
      </c>
    </row>
    <row r="38" spans="1:31" ht="21.95" customHeight="1">
      <c r="AA38" s="59" t="s">
        <v>225</v>
      </c>
      <c r="AB38" s="61">
        <f>$F$32</f>
        <v>0</v>
      </c>
      <c r="AC38" s="59"/>
      <c r="AD38" s="59"/>
      <c r="AE38" s="59"/>
    </row>
    <row r="39" spans="1:31" ht="21.95" customHeight="1">
      <c r="AA39" s="59" t="s">
        <v>226</v>
      </c>
      <c r="AB39" s="61">
        <f>$G$32</f>
        <v>0</v>
      </c>
      <c r="AC39" s="59"/>
      <c r="AD39" s="59"/>
      <c r="AE39" s="59"/>
    </row>
    <row r="40" spans="1:31" ht="21.95" customHeight="1">
      <c r="AA40" s="59" t="s">
        <v>227</v>
      </c>
      <c r="AB40" s="61">
        <f>$H$32</f>
        <v>139</v>
      </c>
      <c r="AC40" s="59"/>
      <c r="AD40" s="59"/>
      <c r="AE40" s="59"/>
    </row>
    <row r="41" spans="1:31" ht="21.95" customHeight="1">
      <c r="AA41" s="59"/>
      <c r="AB41" s="59"/>
      <c r="AC41" s="59"/>
      <c r="AD41" s="59"/>
      <c r="AE41" s="59"/>
    </row>
    <row r="42" spans="1:31" ht="21.95" customHeight="1">
      <c r="AA42" s="59"/>
      <c r="AB42" s="59"/>
      <c r="AC42" s="59"/>
      <c r="AD42" s="59"/>
      <c r="AE42" s="59"/>
    </row>
    <row r="43" spans="1:31" ht="21.95" customHeight="1">
      <c r="AA43" s="59"/>
      <c r="AB43" s="59"/>
      <c r="AC43" s="59"/>
      <c r="AD43" s="59"/>
      <c r="AE43" s="59"/>
    </row>
    <row r="44" spans="1:31" ht="21.95" customHeight="1">
      <c r="AA44" s="59"/>
      <c r="AB44" s="59"/>
      <c r="AC44" s="59"/>
      <c r="AD44" s="59"/>
      <c r="AE44" s="59"/>
    </row>
    <row r="45" spans="1:31" ht="21.95" customHeight="1">
      <c r="AA45" s="59"/>
      <c r="AB45" s="59"/>
      <c r="AC45" s="59"/>
      <c r="AD45" s="59"/>
      <c r="AE45" s="59"/>
    </row>
    <row r="46" spans="1:31" ht="21.95" customHeight="1">
      <c r="AA46" s="59"/>
      <c r="AB46" s="59"/>
      <c r="AC46" s="59"/>
      <c r="AD46" s="59"/>
      <c r="AE46" s="59"/>
    </row>
    <row r="47" spans="1:31" ht="21.95" customHeight="1">
      <c r="AA47" s="59"/>
      <c r="AB47" s="59"/>
      <c r="AC47" s="59"/>
      <c r="AD47" s="59"/>
      <c r="AE47" s="59"/>
    </row>
    <row r="48" spans="1:31" ht="21.95" customHeight="1">
      <c r="AA48" s="59"/>
      <c r="AB48" s="59"/>
      <c r="AC48" s="59"/>
      <c r="AD48" s="59"/>
      <c r="AE48" s="59"/>
    </row>
    <row r="49" spans="27:31" ht="21.95" customHeight="1">
      <c r="AA49" s="59"/>
      <c r="AB49" s="59"/>
      <c r="AC49" s="59"/>
      <c r="AD49" s="59"/>
      <c r="AE49" s="59"/>
    </row>
    <row r="50" spans="27:31" ht="21.95" customHeight="1">
      <c r="AA50" s="59"/>
      <c r="AB50" s="59"/>
      <c r="AC50" s="59"/>
      <c r="AD50" s="59"/>
      <c r="AE50" s="59"/>
    </row>
    <row r="51" spans="27:31" ht="21.95" customHeight="1">
      <c r="AA51" s="59"/>
      <c r="AB51" s="59"/>
      <c r="AC51" s="59"/>
      <c r="AD51" s="59"/>
      <c r="AE51" s="59"/>
    </row>
    <row r="52" spans="27:31" ht="21.95" customHeight="1">
      <c r="AA52" s="59"/>
      <c r="AB52" s="59"/>
      <c r="AC52" s="59"/>
      <c r="AD52" s="59"/>
      <c r="AE52" s="59"/>
    </row>
    <row r="53" spans="27:31" ht="21.95" customHeight="1">
      <c r="AA53" s="59"/>
      <c r="AB53" s="59"/>
      <c r="AC53" s="59"/>
      <c r="AD53" s="59"/>
      <c r="AE53" s="59"/>
    </row>
    <row r="54" spans="27:31" ht="21.95" customHeight="1">
      <c r="AA54" s="59"/>
      <c r="AB54" s="59"/>
      <c r="AC54" s="59"/>
      <c r="AD54" s="59"/>
      <c r="AE54" s="59"/>
    </row>
    <row r="55" spans="27:31" ht="21.95" customHeight="1">
      <c r="AA55" s="59"/>
      <c r="AB55" s="59"/>
      <c r="AC55" s="59"/>
      <c r="AD55" s="59"/>
      <c r="AE55" s="59"/>
    </row>
    <row r="56" spans="27:31" ht="21.95" customHeight="1">
      <c r="AA56" s="59"/>
      <c r="AB56" s="59"/>
      <c r="AC56" s="59"/>
      <c r="AD56" s="59"/>
      <c r="AE56" s="59"/>
    </row>
    <row r="57" spans="27:31" ht="21.95" customHeight="1">
      <c r="AA57" s="59"/>
      <c r="AB57" s="59"/>
      <c r="AC57" s="59"/>
      <c r="AD57" s="59"/>
      <c r="AE57" s="59"/>
    </row>
    <row r="58" spans="27:31" ht="8.1" customHeight="1">
      <c r="AA58" s="59"/>
      <c r="AB58" s="59"/>
      <c r="AC58" s="59"/>
      <c r="AD58" s="59"/>
      <c r="AE58" s="59"/>
    </row>
    <row r="59" spans="27:31" ht="20.100000000000001" customHeight="1">
      <c r="AA59" s="59"/>
      <c r="AB59" s="59"/>
      <c r="AC59" s="59"/>
      <c r="AD59" s="59"/>
      <c r="AE59" s="59"/>
    </row>
    <row r="60" spans="27:31" ht="20.100000000000001" customHeight="1">
      <c r="AA60" s="59"/>
      <c r="AB60" s="59"/>
      <c r="AC60" s="59"/>
      <c r="AD60" s="59"/>
      <c r="AE60" s="59"/>
    </row>
    <row r="61" spans="27:31" ht="20.100000000000001" customHeight="1">
      <c r="AA61" s="59"/>
      <c r="AB61" s="59"/>
      <c r="AC61" s="59"/>
      <c r="AD61" s="59"/>
      <c r="AE61" s="59"/>
    </row>
    <row r="62" spans="27:31" ht="20.100000000000001" customHeight="1">
      <c r="AA62" s="59"/>
      <c r="AB62" s="59"/>
      <c r="AC62" s="59"/>
      <c r="AD62" s="59"/>
      <c r="AE62" s="59"/>
    </row>
    <row r="63" spans="27:31" ht="20.100000000000001" customHeight="1">
      <c r="AA63" s="59"/>
      <c r="AB63" s="59"/>
      <c r="AC63" s="59"/>
      <c r="AD63" s="59"/>
      <c r="AE63" s="59"/>
    </row>
    <row r="64" spans="27:31" ht="20.100000000000001" customHeight="1">
      <c r="AA64" s="59"/>
      <c r="AB64" s="59"/>
      <c r="AC64" s="59"/>
      <c r="AD64" s="59"/>
      <c r="AE64" s="59"/>
    </row>
    <row r="65" spans="1:31" ht="20.100000000000001" customHeight="1">
      <c r="AA65" s="59"/>
      <c r="AB65" s="59"/>
      <c r="AC65" s="59"/>
      <c r="AD65" s="59"/>
      <c r="AE65" s="59"/>
    </row>
    <row r="66" spans="1:31" ht="20.100000000000001" customHeight="1">
      <c r="AA66" s="59"/>
      <c r="AB66" s="59"/>
      <c r="AC66" s="59"/>
      <c r="AD66" s="59"/>
      <c r="AE66" s="59"/>
    </row>
    <row r="67" spans="1:31" ht="20.100000000000001" customHeight="1">
      <c r="AA67" s="59"/>
      <c r="AB67" s="59"/>
      <c r="AC67" s="59"/>
      <c r="AD67" s="59"/>
      <c r="AE67" s="59"/>
    </row>
    <row r="68" spans="1:31" ht="20.100000000000001" customHeight="1">
      <c r="AA68" s="59"/>
      <c r="AB68" s="59"/>
      <c r="AC68" s="59"/>
      <c r="AD68" s="59"/>
      <c r="AE68" s="59"/>
    </row>
    <row r="69" spans="1:31" ht="20.100000000000001" customHeight="1">
      <c r="AA69" s="59"/>
      <c r="AB69" s="59"/>
      <c r="AC69" s="59"/>
      <c r="AD69" s="59"/>
      <c r="AE69" s="59"/>
    </row>
    <row r="70" spans="1:31" ht="20.100000000000001" customHeight="1">
      <c r="AA70" s="59"/>
      <c r="AB70" s="59"/>
      <c r="AC70" s="59"/>
      <c r="AD70" s="59"/>
      <c r="AE70" s="59"/>
    </row>
    <row r="71" spans="1:31" ht="20.100000000000001" customHeight="1">
      <c r="AA71" s="59"/>
      <c r="AB71" s="59"/>
      <c r="AC71" s="59"/>
      <c r="AD71" s="59"/>
      <c r="AE71" s="59"/>
    </row>
    <row r="72" spans="1:31" ht="20.100000000000001" customHeight="1">
      <c r="AA72" s="59"/>
      <c r="AB72" s="59"/>
      <c r="AC72" s="59"/>
      <c r="AD72" s="59"/>
      <c r="AE72" s="59"/>
    </row>
    <row r="73" spans="1:31" ht="20.100000000000001" customHeight="1">
      <c r="AA73" s="59"/>
      <c r="AB73" s="59"/>
      <c r="AC73" s="59"/>
      <c r="AD73" s="59"/>
      <c r="AE73" s="59"/>
    </row>
    <row r="74" spans="1:31" ht="20.100000000000001" customHeight="1">
      <c r="AA74" s="59"/>
      <c r="AB74" s="59"/>
      <c r="AC74" s="59"/>
      <c r="AD74" s="59"/>
      <c r="AE74" s="59"/>
    </row>
    <row r="75" spans="1:31" ht="20.100000000000001" customHeight="1">
      <c r="AA75" s="59"/>
      <c r="AB75" s="59"/>
      <c r="AC75" s="59"/>
      <c r="AD75" s="59"/>
      <c r="AE75" s="59"/>
    </row>
    <row r="76" spans="1:31" ht="8.1" customHeight="1">
      <c r="AA76" s="59"/>
      <c r="AB76" s="59"/>
      <c r="AC76" s="59"/>
      <c r="AD76" s="59"/>
      <c r="AE76" s="59"/>
    </row>
    <row r="77" spans="1:31" ht="24" customHeight="1">
      <c r="A77" s="99" t="s">
        <v>251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AA77" s="59"/>
      <c r="AB77" s="59"/>
      <c r="AC77" s="59"/>
      <c r="AD77" s="59"/>
      <c r="AE77" s="59"/>
    </row>
    <row r="78" spans="1:31" ht="24" customHeight="1">
      <c r="A78" s="99" t="s">
        <v>252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AA78" s="59"/>
      <c r="AB78" s="59"/>
      <c r="AC78" s="59"/>
      <c r="AD78" s="59"/>
      <c r="AE78" s="59"/>
    </row>
    <row r="79" spans="1:31">
      <c r="AA79" s="59"/>
      <c r="AB79" s="59"/>
      <c r="AC79" s="59"/>
      <c r="AD79" s="59"/>
      <c r="AE79" s="59"/>
    </row>
    <row r="80" spans="1:31">
      <c r="AA80" s="59"/>
      <c r="AB80" s="59"/>
      <c r="AC80" s="59"/>
      <c r="AD80" s="59"/>
      <c r="AE80" s="59"/>
    </row>
  </sheetData>
  <mergeCells count="4">
    <mergeCell ref="A1:N1"/>
    <mergeCell ref="A2:N2"/>
    <mergeCell ref="A77:N78"/>
    <mergeCell ref="A34:Z34"/>
  </mergeCells>
  <conditionalFormatting sqref="B5">
    <cfRule type="expression" dxfId="92" priority="2">
      <formula>AND(B5&lt;&gt;"",B5&lt;0.6)</formula>
    </cfRule>
    <cfRule type="expression" dxfId="91" priority="3">
      <formula>AND(B5&gt;=0.6,B5&lt;0.8)</formula>
    </cfRule>
    <cfRule type="expression" dxfId="90" priority="4">
      <formula>AND(B5&gt;=0.8,B5&lt;0.9)</formula>
    </cfRule>
    <cfRule type="expression" dxfId="89" priority="5">
      <formula>B5&gt;=0.9</formula>
    </cfRule>
    <cfRule type="expression" dxfId="88" priority="32">
      <formula>AND(B5&lt;&gt;"",B5&lt;0.6)</formula>
    </cfRule>
    <cfRule type="expression" dxfId="87" priority="33">
      <formula>AND(B5&gt;=0.6,B5&lt;0.8)</formula>
    </cfRule>
    <cfRule type="expression" dxfId="86" priority="34">
      <formula>AND(B5&gt;=0.8,B5&lt;0.9)</formula>
    </cfRule>
    <cfRule type="expression" dxfId="85" priority="35">
      <formula>B5&gt;=0.9</formula>
    </cfRule>
    <cfRule type="expression" dxfId="84" priority="56">
      <formula>AND(B5&lt;&gt;"",B5&lt;0.6)</formula>
    </cfRule>
    <cfRule type="expression" dxfId="83" priority="57">
      <formula>AND(B5&gt;=0.6,B5&lt;0.8)</formula>
    </cfRule>
    <cfRule type="expression" dxfId="82" priority="58">
      <formula>AND(B5&gt;=0.8,B5&lt;0.9)</formula>
    </cfRule>
    <cfRule type="expression" dxfId="81" priority="59">
      <formula>B5&gt;=0.9</formula>
    </cfRule>
  </conditionalFormatting>
  <conditionalFormatting sqref="B7">
    <cfRule type="expression" dxfId="80" priority="6">
      <formula>AND(B7&lt;&gt;"",B7&lt;0.6)</formula>
    </cfRule>
    <cfRule type="expression" dxfId="79" priority="7">
      <formula>AND(B7&gt;=0.6,B7&lt;0.8)</formula>
    </cfRule>
    <cfRule type="expression" dxfId="78" priority="8">
      <formula>AND(B7&gt;=0.8,B7&lt;0.9)</formula>
    </cfRule>
    <cfRule type="expression" dxfId="77" priority="9">
      <formula>B7&gt;=0.9</formula>
    </cfRule>
    <cfRule type="expression" dxfId="76" priority="36">
      <formula>AND(B7&lt;&gt;"",B7&lt;0.6)</formula>
    </cfRule>
    <cfRule type="expression" dxfId="75" priority="37">
      <formula>AND(B7&gt;=0.6,B7&lt;0.8)</formula>
    </cfRule>
    <cfRule type="expression" dxfId="74" priority="38">
      <formula>AND(B7&gt;=0.8,B7&lt;0.9)</formula>
    </cfRule>
    <cfRule type="expression" dxfId="73" priority="39">
      <formula>B7&gt;=0.9</formula>
    </cfRule>
    <cfRule type="expression" dxfId="72" priority="60">
      <formula>AND(B7&lt;&gt;"",B7&lt;0.6)</formula>
    </cfRule>
    <cfRule type="expression" dxfId="71" priority="61">
      <formula>AND(B7&gt;=0.6,B7&lt;0.8)</formula>
    </cfRule>
    <cfRule type="expression" dxfId="70" priority="62">
      <formula>AND(B7&gt;=0.8,B7&lt;0.9)</formula>
    </cfRule>
    <cfRule type="expression" dxfId="69" priority="63">
      <formula>B7&gt;=0.9</formula>
    </cfRule>
  </conditionalFormatting>
  <conditionalFormatting sqref="B12">
    <cfRule type="containsText" dxfId="68" priority="10" operator="containsText" text="Incomplete"/>
    <cfRule type="containsText" dxfId="67" priority="13" operator="containsText" text="Critical"/>
    <cfRule type="containsText" dxfId="66" priority="14" operator="containsText" text="Partially ready"/>
    <cfRule type="containsText" dxfId="65" priority="15" operator="containsText" text="Substantially ready"/>
    <cfRule type="containsText" dxfId="64" priority="16" operator="containsText" text="Ready"/>
    <cfRule type="containsText" dxfId="63" priority="17" operator="containsText" text="OK"/>
    <cfRule type="containsText" dxfId="62" priority="18" operator="containsText" text="Check"/>
    <cfRule type="expression" dxfId="61" priority="44">
      <formula>$B$12="Incomplete - complete all responses"</formula>
    </cfRule>
    <cfRule type="expression" dxfId="60" priority="45">
      <formula>$B$12="No applicable items"</formula>
    </cfRule>
    <cfRule type="expression" dxfId="59" priority="46">
      <formula>LEFT($B$12,8)="Critical"</formula>
    </cfRule>
    <cfRule type="expression" dxfId="58" priority="47">
      <formula>$B$12="Partially ready"</formula>
    </cfRule>
    <cfRule type="expression" dxfId="57" priority="48">
      <formula>$B$12="Substantially ready"</formula>
    </cfRule>
    <cfRule type="expression" dxfId="56" priority="49">
      <formula>$B$12="Ready"</formula>
    </cfRule>
    <cfRule type="expression" dxfId="55" priority="68">
      <formula>$B$12="Incomplete - complete all responses"</formula>
    </cfRule>
    <cfRule type="expression" dxfId="54" priority="69">
      <formula>$B$12="No applicable items"</formula>
    </cfRule>
    <cfRule type="expression" dxfId="53" priority="70">
      <formula>LEFT($B$12,8)="Critical"</formula>
    </cfRule>
    <cfRule type="expression" dxfId="52" priority="71">
      <formula>$B$12="Partially ready"</formula>
    </cfRule>
    <cfRule type="expression" dxfId="51" priority="72">
      <formula>$B$12="Substantially ready"</formula>
    </cfRule>
    <cfRule type="expression" dxfId="50" priority="73">
      <formula>$B$12="Ready"</formula>
    </cfRule>
  </conditionalFormatting>
  <conditionalFormatting sqref="J16:J32">
    <cfRule type="expression" dxfId="49" priority="40">
      <formula>AND(J16&lt;&gt;"",J16&lt;0.6)</formula>
    </cfRule>
    <cfRule type="expression" dxfId="48" priority="41">
      <formula>AND(J16&gt;=0.6,J16&lt;0.8)</formula>
    </cfRule>
    <cfRule type="expression" dxfId="47" priority="42">
      <formula>AND(J16&gt;=0.8,J16&lt;0.9)</formula>
    </cfRule>
    <cfRule type="expression" dxfId="46" priority="43">
      <formula>J16&gt;=0.9</formula>
    </cfRule>
    <cfRule type="expression" dxfId="45" priority="64">
      <formula>AND(J16&lt;&gt;"",J16&lt;0.6)</formula>
    </cfRule>
    <cfRule type="expression" dxfId="44" priority="65">
      <formula>AND(J16&gt;=0.6,J16&lt;0.8)</formula>
    </cfRule>
    <cfRule type="expression" dxfId="43" priority="66">
      <formula>AND(J16&gt;=0.8,J16&lt;0.9)</formula>
    </cfRule>
    <cfRule type="expression" dxfId="42" priority="67">
      <formula>J16&gt;=0.9</formula>
    </cfRule>
  </conditionalFormatting>
  <conditionalFormatting sqref="M16:M32">
    <cfRule type="expression" dxfId="41" priority="50">
      <formula>$M16="Incomplete"</formula>
    </cfRule>
    <cfRule type="expression" dxfId="40" priority="51">
      <formula>$M16="No applicable items"</formula>
    </cfRule>
    <cfRule type="expression" dxfId="39" priority="52">
      <formula>LEFT($M16,8)="Critical"</formula>
    </cfRule>
    <cfRule type="expression" dxfId="38" priority="53">
      <formula>$M16="Partially ready"</formula>
    </cfRule>
    <cfRule type="expression" dxfId="37" priority="54">
      <formula>$M16="Substantially ready"</formula>
    </cfRule>
    <cfRule type="expression" dxfId="36" priority="55">
      <formula>$M16="Ready"</formula>
    </cfRule>
    <cfRule type="expression" dxfId="35" priority="74">
      <formula>$M16="Incomplete"</formula>
    </cfRule>
    <cfRule type="expression" dxfId="34" priority="75">
      <formula>$M16="No applicable items"</formula>
    </cfRule>
    <cfRule type="expression" dxfId="33" priority="76">
      <formula>LEFT($M16,8)="Critical"</formula>
    </cfRule>
    <cfRule type="expression" dxfId="32" priority="77">
      <formula>$M16="Partially ready"</formula>
    </cfRule>
    <cfRule type="expression" dxfId="31" priority="78">
      <formula>$M16="Substantially ready"</formula>
    </cfRule>
    <cfRule type="expression" dxfId="30" priority="79">
      <formula>$M16="Ready"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zoomScale="150" zoomScaleNormal="150" workbookViewId="0">
      <selection activeCell="C28" sqref="C28"/>
    </sheetView>
  </sheetViews>
  <sheetFormatPr defaultRowHeight="14.25"/>
  <cols>
    <col min="1" max="1" width="28" customWidth="1"/>
    <col min="2" max="7" width="20" customWidth="1"/>
    <col min="8" max="9" width="16" customWidth="1"/>
  </cols>
  <sheetData>
    <row r="1" spans="1:9" ht="32.1" customHeight="1">
      <c r="A1" s="95" t="s">
        <v>539</v>
      </c>
      <c r="B1" s="95"/>
      <c r="C1" s="95"/>
      <c r="D1" s="95"/>
      <c r="E1" s="95"/>
      <c r="F1" s="95"/>
      <c r="G1" s="95"/>
      <c r="H1" s="95"/>
      <c r="I1" s="95"/>
    </row>
    <row r="2" spans="1:9" ht="24" customHeight="1">
      <c r="A2" s="102" t="s">
        <v>668</v>
      </c>
      <c r="B2" s="102"/>
      <c r="C2" s="102"/>
      <c r="D2" s="102"/>
      <c r="E2" s="102"/>
      <c r="F2" s="102"/>
      <c r="G2" s="102"/>
      <c r="H2" s="102"/>
      <c r="I2" s="102"/>
    </row>
    <row r="3" spans="1:9" ht="15">
      <c r="A3" s="5" t="s">
        <v>540</v>
      </c>
      <c r="B3" s="36" t="str">
        <f>IFERROR(AVERAGE(I6:I13),"")</f>
        <v/>
      </c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 ht="30">
      <c r="A5" s="1" t="s">
        <v>541</v>
      </c>
      <c r="B5" s="1" t="s">
        <v>542</v>
      </c>
      <c r="C5" s="1" t="s">
        <v>543</v>
      </c>
      <c r="D5" s="1" t="s">
        <v>544</v>
      </c>
      <c r="E5" s="1" t="s">
        <v>545</v>
      </c>
      <c r="F5" s="1" t="s">
        <v>546</v>
      </c>
      <c r="G5" s="1" t="s">
        <v>547</v>
      </c>
      <c r="H5" s="1" t="s">
        <v>548</v>
      </c>
      <c r="I5" s="1" t="s">
        <v>549</v>
      </c>
    </row>
    <row r="6" spans="1:9" ht="15">
      <c r="A6" s="3" t="s">
        <v>662</v>
      </c>
      <c r="B6" s="3"/>
      <c r="C6" s="3"/>
      <c r="D6" s="3"/>
      <c r="E6" s="3"/>
      <c r="F6" s="3"/>
      <c r="G6" s="3"/>
      <c r="H6" s="8"/>
      <c r="I6" s="35" t="str">
        <f t="shared" ref="I6:I13" si="0">IFERROR(COUNTIF(B6:G6,"Yes")/(COUNTIF(B6:G6,"Yes")+COUNTIF(B6:G6,"Partial")+COUNTIF(B6:G6,"No")),"")</f>
        <v/>
      </c>
    </row>
    <row r="7" spans="1:9" ht="15">
      <c r="A7" s="3" t="s">
        <v>550</v>
      </c>
      <c r="B7" s="3"/>
      <c r="C7" s="3"/>
      <c r="D7" s="3"/>
      <c r="E7" s="3"/>
      <c r="F7" s="3"/>
      <c r="G7" s="3"/>
      <c r="H7" s="8"/>
      <c r="I7" s="35" t="str">
        <f t="shared" si="0"/>
        <v/>
      </c>
    </row>
    <row r="8" spans="1:9" ht="15">
      <c r="A8" s="3" t="s">
        <v>663</v>
      </c>
      <c r="B8" s="3"/>
      <c r="C8" s="3"/>
      <c r="D8" s="3"/>
      <c r="E8" s="3"/>
      <c r="F8" s="3"/>
      <c r="G8" s="3"/>
      <c r="H8" s="8"/>
      <c r="I8" s="35" t="str">
        <f t="shared" si="0"/>
        <v/>
      </c>
    </row>
    <row r="9" spans="1:9" ht="15">
      <c r="A9" s="3" t="s">
        <v>551</v>
      </c>
      <c r="B9" s="3"/>
      <c r="C9" s="3"/>
      <c r="D9" s="3"/>
      <c r="E9" s="3"/>
      <c r="F9" s="3"/>
      <c r="G9" s="3"/>
      <c r="H9" s="8"/>
      <c r="I9" s="35" t="str">
        <f t="shared" si="0"/>
        <v/>
      </c>
    </row>
    <row r="10" spans="1:9" ht="15">
      <c r="A10" s="3" t="s">
        <v>552</v>
      </c>
      <c r="B10" s="3"/>
      <c r="C10" s="3"/>
      <c r="D10" s="3"/>
      <c r="E10" s="3"/>
      <c r="F10" s="3"/>
      <c r="G10" s="3"/>
      <c r="H10" s="8"/>
      <c r="I10" s="35" t="str">
        <f t="shared" si="0"/>
        <v/>
      </c>
    </row>
    <row r="11" spans="1:9" ht="15">
      <c r="A11" s="3" t="s">
        <v>664</v>
      </c>
      <c r="B11" s="3"/>
      <c r="C11" s="3"/>
      <c r="D11" s="3"/>
      <c r="E11" s="3"/>
      <c r="F11" s="3"/>
      <c r="G11" s="3"/>
      <c r="H11" s="8"/>
      <c r="I11" s="35" t="str">
        <f t="shared" si="0"/>
        <v/>
      </c>
    </row>
    <row r="12" spans="1:9" ht="15">
      <c r="A12" s="3" t="s">
        <v>553</v>
      </c>
      <c r="B12" s="3"/>
      <c r="C12" s="3"/>
      <c r="D12" s="3"/>
      <c r="E12" s="3"/>
      <c r="F12" s="3"/>
      <c r="G12" s="3"/>
      <c r="H12" s="8"/>
      <c r="I12" s="35" t="str">
        <f t="shared" si="0"/>
        <v/>
      </c>
    </row>
    <row r="13" spans="1:9" ht="15">
      <c r="A13" s="3" t="s">
        <v>554</v>
      </c>
      <c r="B13" s="3"/>
      <c r="C13" s="3"/>
      <c r="D13" s="3"/>
      <c r="E13" s="3"/>
      <c r="F13" s="3"/>
      <c r="G13" s="3"/>
      <c r="H13" s="8"/>
      <c r="I13" s="35" t="str">
        <f t="shared" si="0"/>
        <v/>
      </c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mergeCells count="2">
    <mergeCell ref="A1:I1"/>
    <mergeCell ref="A2:I2"/>
  </mergeCells>
  <conditionalFormatting sqref="B3">
    <cfRule type="expression" dxfId="29" priority="5">
      <formula>AND(B3&lt;&gt;"",B3&lt;0.6)</formula>
    </cfRule>
    <cfRule type="expression" dxfId="28" priority="6">
      <formula>AND(B3&gt;=0.6,B3&lt;0.8)</formula>
    </cfRule>
    <cfRule type="expression" dxfId="27" priority="7">
      <formula>AND(B3&gt;=0.8,B3&lt;0.9)</formula>
    </cfRule>
    <cfRule type="expression" dxfId="26" priority="8">
      <formula>B3&gt;=0.9</formula>
    </cfRule>
  </conditionalFormatting>
  <conditionalFormatting sqref="I6:I13">
    <cfRule type="expression" dxfId="25" priority="1">
      <formula>AND(I6&lt;&gt;"",I6&lt;0.6)</formula>
    </cfRule>
    <cfRule type="expression" dxfId="24" priority="2">
      <formula>AND(I6&gt;=0.6,I6&lt;0.8)</formula>
    </cfRule>
    <cfRule type="expression" dxfId="23" priority="3">
      <formula>AND(I6&gt;=0.8,I6&lt;0.9)</formula>
    </cfRule>
    <cfRule type="expression" dxfId="22" priority="4">
      <formula>I6&gt;=0.9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zoomScaleNormal="100" workbookViewId="0">
      <selection activeCell="I18" sqref="I18"/>
    </sheetView>
  </sheetViews>
  <sheetFormatPr defaultRowHeight="14.25"/>
  <cols>
    <col min="1" max="1" width="22" customWidth="1"/>
    <col min="2" max="3" width="45" customWidth="1"/>
    <col min="4" max="4" width="35" customWidth="1"/>
    <col min="5" max="5" width="30.5" customWidth="1"/>
    <col min="6" max="6" width="18" customWidth="1"/>
    <col min="7" max="7" width="16" customWidth="1"/>
    <col min="8" max="8" width="28" customWidth="1"/>
    <col min="9" max="9" width="18" customWidth="1"/>
  </cols>
  <sheetData>
    <row r="1" spans="1:9" ht="32.1" customHeight="1">
      <c r="A1" s="95" t="s">
        <v>555</v>
      </c>
      <c r="B1" s="95"/>
      <c r="C1" s="95"/>
      <c r="D1" s="95"/>
      <c r="E1" s="95"/>
      <c r="F1" s="95"/>
      <c r="G1" s="95"/>
      <c r="H1" s="95"/>
      <c r="I1" s="95"/>
    </row>
    <row r="2" spans="1:9" ht="24" customHeight="1">
      <c r="A2" s="102" t="s">
        <v>669</v>
      </c>
      <c r="B2" s="102"/>
      <c r="C2" s="102"/>
      <c r="D2" s="102"/>
      <c r="E2" s="102"/>
      <c r="F2" s="102"/>
      <c r="G2" s="102"/>
      <c r="H2" s="102"/>
      <c r="I2" s="10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30">
      <c r="A4" s="1" t="s">
        <v>556</v>
      </c>
      <c r="B4" s="1" t="s">
        <v>557</v>
      </c>
      <c r="C4" s="1" t="s">
        <v>558</v>
      </c>
      <c r="D4" s="1" t="s">
        <v>559</v>
      </c>
      <c r="E4" s="125" t="s">
        <v>670</v>
      </c>
      <c r="F4" s="1" t="s">
        <v>560</v>
      </c>
      <c r="G4" s="1" t="s">
        <v>538</v>
      </c>
      <c r="H4" s="1" t="s">
        <v>9</v>
      </c>
      <c r="I4" s="1" t="s">
        <v>666</v>
      </c>
    </row>
    <row r="5" spans="1:9" ht="60" customHeight="1">
      <c r="A5" s="4" t="s">
        <v>561</v>
      </c>
      <c r="B5" s="4" t="s">
        <v>562</v>
      </c>
      <c r="C5" s="4" t="s">
        <v>563</v>
      </c>
      <c r="D5" s="4" t="s">
        <v>564</v>
      </c>
      <c r="E5" s="25"/>
      <c r="F5" s="25"/>
      <c r="G5" s="26"/>
      <c r="H5" s="25"/>
      <c r="I5" s="7" t="str">
        <f t="shared" ref="I5:I10" si="0">IF(OR($E5="Partial",$E5="Missing"),"Action needed","")</f>
        <v/>
      </c>
    </row>
    <row r="6" spans="1:9" ht="69" customHeight="1">
      <c r="A6" s="4" t="s">
        <v>565</v>
      </c>
      <c r="B6" s="4" t="s">
        <v>566</v>
      </c>
      <c r="C6" s="4" t="s">
        <v>567</v>
      </c>
      <c r="D6" s="4" t="s">
        <v>568</v>
      </c>
      <c r="E6" s="25"/>
      <c r="F6" s="25"/>
      <c r="G6" s="26"/>
      <c r="H6" s="25"/>
      <c r="I6" s="7" t="str">
        <f t="shared" si="0"/>
        <v/>
      </c>
    </row>
    <row r="7" spans="1:9" ht="60" customHeight="1">
      <c r="A7" s="4" t="s">
        <v>569</v>
      </c>
      <c r="B7" s="4" t="s">
        <v>570</v>
      </c>
      <c r="C7" s="4" t="s">
        <v>571</v>
      </c>
      <c r="D7" s="4" t="s">
        <v>572</v>
      </c>
      <c r="E7" s="25"/>
      <c r="F7" s="25"/>
      <c r="G7" s="26"/>
      <c r="H7" s="25"/>
      <c r="I7" s="7" t="str">
        <f t="shared" si="0"/>
        <v/>
      </c>
    </row>
    <row r="8" spans="1:9" ht="81.75" customHeight="1">
      <c r="A8" s="4" t="s">
        <v>573</v>
      </c>
      <c r="B8" s="4" t="s">
        <v>574</v>
      </c>
      <c r="C8" s="4" t="s">
        <v>575</v>
      </c>
      <c r="D8" s="4" t="s">
        <v>576</v>
      </c>
      <c r="E8" s="25"/>
      <c r="F8" s="25"/>
      <c r="G8" s="26"/>
      <c r="H8" s="25"/>
      <c r="I8" s="7" t="str">
        <f t="shared" si="0"/>
        <v/>
      </c>
    </row>
    <row r="9" spans="1:9" ht="60" customHeight="1">
      <c r="A9" s="4" t="s">
        <v>577</v>
      </c>
      <c r="B9" s="4" t="s">
        <v>578</v>
      </c>
      <c r="C9" s="4" t="s">
        <v>579</v>
      </c>
      <c r="D9" s="4" t="s">
        <v>580</v>
      </c>
      <c r="E9" s="25"/>
      <c r="F9" s="25"/>
      <c r="G9" s="26"/>
      <c r="H9" s="25"/>
      <c r="I9" s="7" t="str">
        <f t="shared" si="0"/>
        <v/>
      </c>
    </row>
    <row r="10" spans="1:9" ht="60" customHeight="1">
      <c r="A10" s="4" t="s">
        <v>581</v>
      </c>
      <c r="B10" s="4" t="s">
        <v>582</v>
      </c>
      <c r="C10" s="4" t="s">
        <v>583</v>
      </c>
      <c r="D10" s="4" t="s">
        <v>584</v>
      </c>
      <c r="E10" s="25"/>
      <c r="F10" s="25"/>
      <c r="G10" s="26"/>
      <c r="H10" s="25"/>
      <c r="I10" s="7" t="str">
        <f t="shared" si="0"/>
        <v/>
      </c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mergeCells count="2">
    <mergeCell ref="A1:I1"/>
    <mergeCell ref="A2:I2"/>
  </mergeCells>
  <conditionalFormatting sqref="I5:I10">
    <cfRule type="containsText" dxfId="21" priority="1" operator="containsText" text="Incomplete"/>
    <cfRule type="containsText" dxfId="20" priority="4" operator="containsText" text="Critical"/>
    <cfRule type="containsText" dxfId="19" priority="5" operator="containsText" text="Partially ready"/>
    <cfRule type="containsText" dxfId="18" priority="6" operator="containsText" text="Substantially ready"/>
    <cfRule type="containsText" dxfId="17" priority="7" operator="containsText" text="Ready"/>
    <cfRule type="containsText" dxfId="16" priority="8" operator="containsText" text="OK"/>
    <cfRule type="containsText" dxfId="15" priority="9" operator="containsText" text="Check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5"/>
  <sheetViews>
    <sheetView zoomScale="160" zoomScaleNormal="160" workbookViewId="0">
      <selection activeCell="H11" sqref="H11"/>
    </sheetView>
  </sheetViews>
  <sheetFormatPr defaultRowHeight="14.25"/>
  <cols>
    <col min="1" max="1" width="8" customWidth="1"/>
    <col min="2" max="2" width="9" customWidth="1"/>
    <col min="3" max="3" width="34" customWidth="1"/>
    <col min="4" max="4" width="28" customWidth="1"/>
    <col min="5" max="5" width="7" customWidth="1"/>
    <col min="6" max="6" width="13" customWidth="1"/>
    <col min="7" max="7" width="60" customWidth="1"/>
    <col min="8" max="8" width="34" customWidth="1"/>
    <col min="9" max="9" width="15" customWidth="1"/>
    <col min="10" max="10" width="52.375" customWidth="1"/>
    <col min="11" max="11" width="32.25" customWidth="1"/>
    <col min="12" max="12" width="20.625" customWidth="1"/>
  </cols>
  <sheetData>
    <row r="1" spans="1:12" ht="32.1" customHeight="1">
      <c r="A1" s="103" t="s">
        <v>530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4" customHeight="1">
      <c r="A2" s="96" t="s">
        <v>672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>
      <c r="A3" s="105" t="s">
        <v>531</v>
      </c>
      <c r="B3" s="106"/>
      <c r="C3" s="106"/>
      <c r="D3" s="106"/>
      <c r="E3" s="106"/>
      <c r="F3" s="106"/>
      <c r="G3" s="106"/>
      <c r="H3" s="106"/>
      <c r="I3" s="107"/>
      <c r="J3" s="108" t="s">
        <v>532</v>
      </c>
      <c r="K3" s="109"/>
      <c r="L3" s="109"/>
    </row>
    <row r="4" spans="1:12" ht="22.5">
      <c r="A4" s="12" t="s">
        <v>263</v>
      </c>
      <c r="B4" s="12" t="s">
        <v>254</v>
      </c>
      <c r="C4" s="12" t="s">
        <v>221</v>
      </c>
      <c r="D4" s="12" t="s">
        <v>533</v>
      </c>
      <c r="E4" s="12" t="s">
        <v>255</v>
      </c>
      <c r="F4" s="12" t="s">
        <v>534</v>
      </c>
      <c r="G4" s="12" t="s">
        <v>535</v>
      </c>
      <c r="H4" s="12" t="s">
        <v>257</v>
      </c>
      <c r="I4" s="12" t="s">
        <v>536</v>
      </c>
      <c r="J4" s="12" t="s">
        <v>537</v>
      </c>
      <c r="K4" s="12" t="s">
        <v>671</v>
      </c>
      <c r="L4" s="12" t="s">
        <v>538</v>
      </c>
    </row>
    <row r="5" spans="1:12" ht="42" customHeight="1">
      <c r="A5" s="28">
        <f>IF(ROW()-4&lt;=COUNT(Checklist!$P$3:$P$149),ROW()-4,"")</f>
        <v>1</v>
      </c>
      <c r="B5" s="28" t="str">
        <f>IF($A5="","",INDEX(Checklist!$C$3:$C$149,MATCH($A5,Checklist!$P$3:$P$149,0)))</f>
        <v>7.1.2</v>
      </c>
      <c r="C5" s="28" t="str">
        <f>IF($A5="","",INDEX(Checklist!$B$3:$B$149,MATCH($A5,Checklist!$P$3:$P$149,0)))</f>
        <v>Toxoplasmosis and other opportunistic infections readiness</v>
      </c>
      <c r="D5" s="28" t="str">
        <f>IF($A5="","",IF(INDEX(Checklist!$A$3:$A$149,MATCH($A5,Checklist!$P$3:$P$149,0))=7,IFERROR(LEFT(INDEX(Checklist!$E$3:$E$149,MATCH($A5,Checklist!$P$3:$P$149,0)),FIND(CHAR(10),INDEX(Checklist!$E$3:$E$149,MATCH($A5,Checklist!$P$3:$P$149,0)))-1),INDEX(Checklist!$E$3:$E$149,MATCH($A5,Checklist!$P$3:$P$149,0))),""))</f>
        <v>Pneumocystis pneumonia</v>
      </c>
      <c r="E5" s="28" t="str">
        <f>IF($A5="","",INDEX(Checklist!$D$3:$D$149,MATCH($A5,Checklist!$P$3:$P$149,0)))</f>
        <v>P1</v>
      </c>
      <c r="F5" s="28" t="str">
        <f>IF($A5="","",INDEX(Checklist!$F$3:$F$149,MATCH($A5,Checklist!$P$3:$P$149,0)))</f>
        <v>Partial</v>
      </c>
      <c r="G5" s="28" t="str">
        <f>IF($A5="","",IF($D5&lt;&gt;"",INDEX(Checklist!$E$3:$E$149,MATCH(LEFT($B5,3),Checklist!$C$3:$C$149,0))&amp;" - "&amp;$D5,INDEX(Checklist!$E$3:$E$149,MATCH($A5,Checklist!$P$3:$P$149,0))))</f>
        <v>Staff can recognize and promptly assess the clinical features and danger signs associated with: - Pneumocystis pneumonia</v>
      </c>
      <c r="H5" s="28">
        <f>IF($A5="","",INDEX(Checklist!$G$3:$G$149,MATCH($A5,Checklist!$P$3:$P$149,0)))</f>
        <v>0</v>
      </c>
      <c r="I5" s="30" t="str">
        <f>IF($A5="","",INDEX(Checklist!$N$3:$N$149,MATCH($A5,Checklist!$P$3:$P$149,0)))</f>
        <v/>
      </c>
      <c r="J5" s="27"/>
      <c r="K5" s="27"/>
      <c r="L5" s="29"/>
    </row>
    <row r="6" spans="1:12" ht="42" customHeight="1">
      <c r="A6" s="28" t="str">
        <f>IF(ROW()-4&lt;=COUNT(Checklist!$P$3:$P$149),ROW()-4,"")</f>
        <v/>
      </c>
      <c r="B6" s="28" t="str">
        <f>IF($A6="","",INDEX(Checklist!$C$3:$C$149,MATCH($A6,Checklist!$P$3:$P$149,0)))</f>
        <v/>
      </c>
      <c r="C6" s="28" t="str">
        <f>IF($A6="","",INDEX(Checklist!$B$3:$B$149,MATCH($A6,Checklist!$P$3:$P$149,0)))</f>
        <v/>
      </c>
      <c r="D6" s="28" t="str">
        <f>IF($A6="","",IF(INDEX(Checklist!$A$3:$A$149,MATCH($A6,Checklist!$P$3:$P$149,0))=7,IFERROR(LEFT(INDEX(Checklist!$E$3:$E$149,MATCH($A6,Checklist!$P$3:$P$149,0)),FIND(CHAR(10),INDEX(Checklist!$E$3:$E$149,MATCH($A6,Checklist!$P$3:$P$149,0)))-1),INDEX(Checklist!$E$3:$E$149,MATCH($A6,Checklist!$P$3:$P$149,0))),""))</f>
        <v/>
      </c>
      <c r="E6" s="28" t="str">
        <f>IF($A6="","",INDEX(Checklist!$D$3:$D$149,MATCH($A6,Checklist!$P$3:$P$149,0)))</f>
        <v/>
      </c>
      <c r="F6" s="28" t="str">
        <f>IF($A6="","",INDEX(Checklist!$F$3:$F$149,MATCH($A6,Checklist!$P$3:$P$149,0)))</f>
        <v/>
      </c>
      <c r="G6" s="28" t="str">
        <f>IF($A6="","",IF($D6&lt;&gt;"",INDEX(Checklist!$E$3:$E$149,MATCH(LEFT($B6,3),Checklist!$C$3:$C$149,0))&amp;" - "&amp;$D6,INDEX(Checklist!$E$3:$E$149,MATCH($A6,Checklist!$P$3:$P$149,0))))</f>
        <v/>
      </c>
      <c r="H6" s="28" t="str">
        <f>IF($A6="","",INDEX(Checklist!$G$3:$G$149,MATCH($A6,Checklist!$P$3:$P$149,0)))</f>
        <v/>
      </c>
      <c r="I6" s="30" t="str">
        <f>IF($A6="","",INDEX(Checklist!$N$3:$N$149,MATCH($A6,Checklist!$P$3:$P$149,0)))</f>
        <v/>
      </c>
      <c r="J6" s="27"/>
      <c r="K6" s="27"/>
      <c r="L6" s="29"/>
    </row>
    <row r="7" spans="1:12" ht="42" customHeight="1">
      <c r="A7" s="28" t="str">
        <f>IF(ROW()-4&lt;=COUNT(Checklist!$P$3:$P$149),ROW()-4,"")</f>
        <v/>
      </c>
      <c r="B7" s="28" t="str">
        <f>IF($A7="","",INDEX(Checklist!$C$3:$C$149,MATCH($A7,Checklist!$P$3:$P$149,0)))</f>
        <v/>
      </c>
      <c r="C7" s="28" t="str">
        <f>IF($A7="","",INDEX(Checklist!$B$3:$B$149,MATCH($A7,Checklist!$P$3:$P$149,0)))</f>
        <v/>
      </c>
      <c r="D7" s="28" t="str">
        <f>IF($A7="","",IF(INDEX(Checklist!$A$3:$A$149,MATCH($A7,Checklist!$P$3:$P$149,0))=7,IFERROR(LEFT(INDEX(Checklist!$E$3:$E$149,MATCH($A7,Checklist!$P$3:$P$149,0)),FIND(CHAR(10),INDEX(Checklist!$E$3:$E$149,MATCH($A7,Checklist!$P$3:$P$149,0)))-1),INDEX(Checklist!$E$3:$E$149,MATCH($A7,Checklist!$P$3:$P$149,0))),""))</f>
        <v/>
      </c>
      <c r="E7" s="28" t="str">
        <f>IF($A7="","",INDEX(Checklist!$D$3:$D$149,MATCH($A7,Checklist!$P$3:$P$149,0)))</f>
        <v/>
      </c>
      <c r="F7" s="28" t="str">
        <f>IF($A7="","",INDEX(Checklist!$F$3:$F$149,MATCH($A7,Checklist!$P$3:$P$149,0)))</f>
        <v/>
      </c>
      <c r="G7" s="28" t="str">
        <f>IF($A7="","",IF($D7&lt;&gt;"",INDEX(Checklist!$E$3:$E$149,MATCH(LEFT($B7,3),Checklist!$C$3:$C$149,0))&amp;" - "&amp;$D7,INDEX(Checklist!$E$3:$E$149,MATCH($A7,Checklist!$P$3:$P$149,0))))</f>
        <v/>
      </c>
      <c r="H7" s="28" t="str">
        <f>IF($A7="","",INDEX(Checklist!$G$3:$G$149,MATCH($A7,Checklist!$P$3:$P$149,0)))</f>
        <v/>
      </c>
      <c r="I7" s="30" t="str">
        <f>IF($A7="","",INDEX(Checklist!$N$3:$N$149,MATCH($A7,Checklist!$P$3:$P$149,0)))</f>
        <v/>
      </c>
      <c r="J7" s="27"/>
      <c r="K7" s="27"/>
      <c r="L7" s="29"/>
    </row>
    <row r="8" spans="1:12" ht="42" customHeight="1">
      <c r="A8" s="28" t="str">
        <f>IF(ROW()-4&lt;=COUNT(Checklist!$P$3:$P$149),ROW()-4,"")</f>
        <v/>
      </c>
      <c r="B8" s="28" t="str">
        <f>IF($A8="","",INDEX(Checklist!$C$3:$C$149,MATCH($A8,Checklist!$P$3:$P$149,0)))</f>
        <v/>
      </c>
      <c r="C8" s="28" t="str">
        <f>IF($A8="","",INDEX(Checklist!$B$3:$B$149,MATCH($A8,Checklist!$P$3:$P$149,0)))</f>
        <v/>
      </c>
      <c r="D8" s="28" t="str">
        <f>IF($A8="","",IF(INDEX(Checklist!$A$3:$A$149,MATCH($A8,Checklist!$P$3:$P$149,0))=7,IFERROR(LEFT(INDEX(Checklist!$E$3:$E$149,MATCH($A8,Checklist!$P$3:$P$149,0)),FIND(CHAR(10),INDEX(Checklist!$E$3:$E$149,MATCH($A8,Checklist!$P$3:$P$149,0)))-1),INDEX(Checklist!$E$3:$E$149,MATCH($A8,Checklist!$P$3:$P$149,0))),""))</f>
        <v/>
      </c>
      <c r="E8" s="28" t="str">
        <f>IF($A8="","",INDEX(Checklist!$D$3:$D$149,MATCH($A8,Checklist!$P$3:$P$149,0)))</f>
        <v/>
      </c>
      <c r="F8" s="28" t="str">
        <f>IF($A8="","",INDEX(Checklist!$F$3:$F$149,MATCH($A8,Checklist!$P$3:$P$149,0)))</f>
        <v/>
      </c>
      <c r="G8" s="28" t="str">
        <f>IF($A8="","",IF($D8&lt;&gt;"",INDEX(Checklist!$E$3:$E$149,MATCH(LEFT($B8,3),Checklist!$C$3:$C$149,0))&amp;" - "&amp;$D8,INDEX(Checklist!$E$3:$E$149,MATCH($A8,Checklist!$P$3:$P$149,0))))</f>
        <v/>
      </c>
      <c r="H8" s="28" t="str">
        <f>IF($A8="","",INDEX(Checklist!$G$3:$G$149,MATCH($A8,Checklist!$P$3:$P$149,0)))</f>
        <v/>
      </c>
      <c r="I8" s="30" t="str">
        <f>IF($A8="","",INDEX(Checklist!$N$3:$N$149,MATCH($A8,Checklist!$P$3:$P$149,0)))</f>
        <v/>
      </c>
      <c r="J8" s="27"/>
      <c r="K8" s="27"/>
      <c r="L8" s="29"/>
    </row>
    <row r="9" spans="1:12" ht="42" customHeight="1">
      <c r="A9" s="28" t="str">
        <f>IF(ROW()-4&lt;=COUNT(Checklist!$P$3:$P$149),ROW()-4,"")</f>
        <v/>
      </c>
      <c r="B9" s="28" t="str">
        <f>IF($A9="","",INDEX(Checklist!$C$3:$C$149,MATCH($A9,Checklist!$P$3:$P$149,0)))</f>
        <v/>
      </c>
      <c r="C9" s="28" t="str">
        <f>IF($A9="","",INDEX(Checklist!$B$3:$B$149,MATCH($A9,Checklist!$P$3:$P$149,0)))</f>
        <v/>
      </c>
      <c r="D9" s="28" t="str">
        <f>IF($A9="","",IF(INDEX(Checklist!$A$3:$A$149,MATCH($A9,Checklist!$P$3:$P$149,0))=7,IFERROR(LEFT(INDEX(Checklist!$E$3:$E$149,MATCH($A9,Checklist!$P$3:$P$149,0)),FIND(CHAR(10),INDEX(Checklist!$E$3:$E$149,MATCH($A9,Checklist!$P$3:$P$149,0)))-1),INDEX(Checklist!$E$3:$E$149,MATCH($A9,Checklist!$P$3:$P$149,0))),""))</f>
        <v/>
      </c>
      <c r="E9" s="28" t="str">
        <f>IF($A9="","",INDEX(Checklist!$D$3:$D$149,MATCH($A9,Checklist!$P$3:$P$149,0)))</f>
        <v/>
      </c>
      <c r="F9" s="28" t="str">
        <f>IF($A9="","",INDEX(Checklist!$F$3:$F$149,MATCH($A9,Checklist!$P$3:$P$149,0)))</f>
        <v/>
      </c>
      <c r="G9" s="28" t="str">
        <f>IF($A9="","",IF($D9&lt;&gt;"",INDEX(Checklist!$E$3:$E$149,MATCH(LEFT($B9,3),Checklist!$C$3:$C$149,0))&amp;" - "&amp;$D9,INDEX(Checklist!$E$3:$E$149,MATCH($A9,Checklist!$P$3:$P$149,0))))</f>
        <v/>
      </c>
      <c r="H9" s="28" t="str">
        <f>IF($A9="","",INDEX(Checklist!$G$3:$G$149,MATCH($A9,Checklist!$P$3:$P$149,0)))</f>
        <v/>
      </c>
      <c r="I9" s="30" t="str">
        <f>IF($A9="","",INDEX(Checklist!$N$3:$N$149,MATCH($A9,Checklist!$P$3:$P$149,0)))</f>
        <v/>
      </c>
      <c r="J9" s="27"/>
      <c r="K9" s="27"/>
      <c r="L9" s="29"/>
    </row>
    <row r="10" spans="1:12" ht="42" customHeight="1">
      <c r="A10" s="28" t="str">
        <f>IF(ROW()-4&lt;=COUNT(Checklist!$P$3:$P$149),ROW()-4,"")</f>
        <v/>
      </c>
      <c r="B10" s="28" t="str">
        <f>IF($A10="","",INDEX(Checklist!$C$3:$C$149,MATCH($A10,Checklist!$P$3:$P$149,0)))</f>
        <v/>
      </c>
      <c r="C10" s="28" t="str">
        <f>IF($A10="","",INDEX(Checklist!$B$3:$B$149,MATCH($A10,Checklist!$P$3:$P$149,0)))</f>
        <v/>
      </c>
      <c r="D10" s="28" t="str">
        <f>IF($A10="","",IF(INDEX(Checklist!$A$3:$A$149,MATCH($A10,Checklist!$P$3:$P$149,0))=7,IFERROR(LEFT(INDEX(Checklist!$E$3:$E$149,MATCH($A10,Checklist!$P$3:$P$149,0)),FIND(CHAR(10),INDEX(Checklist!$E$3:$E$149,MATCH($A10,Checklist!$P$3:$P$149,0)))-1),INDEX(Checklist!$E$3:$E$149,MATCH($A10,Checklist!$P$3:$P$149,0))),""))</f>
        <v/>
      </c>
      <c r="E10" s="28" t="str">
        <f>IF($A10="","",INDEX(Checklist!$D$3:$D$149,MATCH($A10,Checklist!$P$3:$P$149,0)))</f>
        <v/>
      </c>
      <c r="F10" s="28" t="str">
        <f>IF($A10="","",INDEX(Checklist!$F$3:$F$149,MATCH($A10,Checklist!$P$3:$P$149,0)))</f>
        <v/>
      </c>
      <c r="G10" s="28" t="str">
        <f>IF($A10="","",IF($D10&lt;&gt;"",INDEX(Checklist!$E$3:$E$149,MATCH(LEFT($B10,3),Checklist!$C$3:$C$149,0))&amp;" - "&amp;$D10,INDEX(Checklist!$E$3:$E$149,MATCH($A10,Checklist!$P$3:$P$149,0))))</f>
        <v/>
      </c>
      <c r="H10" s="28" t="str">
        <f>IF($A10="","",INDEX(Checklist!$G$3:$G$149,MATCH($A10,Checklist!$P$3:$P$149,0)))</f>
        <v/>
      </c>
      <c r="I10" s="30" t="str">
        <f>IF($A10="","",INDEX(Checklist!$N$3:$N$149,MATCH($A10,Checklist!$P$3:$P$149,0)))</f>
        <v/>
      </c>
      <c r="J10" s="27"/>
      <c r="K10" s="27"/>
      <c r="L10" s="29"/>
    </row>
    <row r="11" spans="1:12" ht="42" customHeight="1">
      <c r="A11" s="28" t="str">
        <f>IF(ROW()-4&lt;=COUNT(Checklist!$P$3:$P$149),ROW()-4,"")</f>
        <v/>
      </c>
      <c r="B11" s="28" t="str">
        <f>IF($A11="","",INDEX(Checklist!$C$3:$C$149,MATCH($A11,Checklist!$P$3:$P$149,0)))</f>
        <v/>
      </c>
      <c r="C11" s="28" t="str">
        <f>IF($A11="","",INDEX(Checklist!$B$3:$B$149,MATCH($A11,Checklist!$P$3:$P$149,0)))</f>
        <v/>
      </c>
      <c r="D11" s="28" t="str">
        <f>IF($A11="","",IF(INDEX(Checklist!$A$3:$A$149,MATCH($A11,Checklist!$P$3:$P$149,0))=7,IFERROR(LEFT(INDEX(Checklist!$E$3:$E$149,MATCH($A11,Checklist!$P$3:$P$149,0)),FIND(CHAR(10),INDEX(Checklist!$E$3:$E$149,MATCH($A11,Checklist!$P$3:$P$149,0)))-1),INDEX(Checklist!$E$3:$E$149,MATCH($A11,Checklist!$P$3:$P$149,0))),""))</f>
        <v/>
      </c>
      <c r="E11" s="28" t="str">
        <f>IF($A11="","",INDEX(Checklist!$D$3:$D$149,MATCH($A11,Checklist!$P$3:$P$149,0)))</f>
        <v/>
      </c>
      <c r="F11" s="28" t="str">
        <f>IF($A11="","",INDEX(Checklist!$F$3:$F$149,MATCH($A11,Checklist!$P$3:$P$149,0)))</f>
        <v/>
      </c>
      <c r="G11" s="28" t="str">
        <f>IF($A11="","",IF($D11&lt;&gt;"",INDEX(Checklist!$E$3:$E$149,MATCH(LEFT($B11,3),Checklist!$C$3:$C$149,0))&amp;" - "&amp;$D11,INDEX(Checklist!$E$3:$E$149,MATCH($A11,Checklist!$P$3:$P$149,0))))</f>
        <v/>
      </c>
      <c r="H11" s="28" t="str">
        <f>IF($A11="","",INDEX(Checklist!$G$3:$G$149,MATCH($A11,Checklist!$P$3:$P$149,0)))</f>
        <v/>
      </c>
      <c r="I11" s="30" t="str">
        <f>IF($A11="","",INDEX(Checklist!$N$3:$N$149,MATCH($A11,Checklist!$P$3:$P$149,0)))</f>
        <v/>
      </c>
      <c r="J11" s="27"/>
      <c r="K11" s="27"/>
      <c r="L11" s="29"/>
    </row>
    <row r="12" spans="1:12" ht="42" customHeight="1">
      <c r="A12" s="28" t="str">
        <f>IF(ROW()-4&lt;=COUNT(Checklist!$P$3:$P$149),ROW()-4,"")</f>
        <v/>
      </c>
      <c r="B12" s="28" t="str">
        <f>IF($A12="","",INDEX(Checklist!$C$3:$C$149,MATCH($A12,Checklist!$P$3:$P$149,0)))</f>
        <v/>
      </c>
      <c r="C12" s="28" t="str">
        <f>IF($A12="","",INDEX(Checklist!$B$3:$B$149,MATCH($A12,Checklist!$P$3:$P$149,0)))</f>
        <v/>
      </c>
      <c r="D12" s="28" t="str">
        <f>IF($A12="","",IF(INDEX(Checklist!$A$3:$A$149,MATCH($A12,Checklist!$P$3:$P$149,0))=7,IFERROR(LEFT(INDEX(Checklist!$E$3:$E$149,MATCH($A12,Checklist!$P$3:$P$149,0)),FIND(CHAR(10),INDEX(Checklist!$E$3:$E$149,MATCH($A12,Checklist!$P$3:$P$149,0)))-1),INDEX(Checklist!$E$3:$E$149,MATCH($A12,Checklist!$P$3:$P$149,0))),""))</f>
        <v/>
      </c>
      <c r="E12" s="28" t="str">
        <f>IF($A12="","",INDEX(Checklist!$D$3:$D$149,MATCH($A12,Checklist!$P$3:$P$149,0)))</f>
        <v/>
      </c>
      <c r="F12" s="28" t="str">
        <f>IF($A12="","",INDEX(Checklist!$F$3:$F$149,MATCH($A12,Checklist!$P$3:$P$149,0)))</f>
        <v/>
      </c>
      <c r="G12" s="28" t="str">
        <f>IF($A12="","",IF($D12&lt;&gt;"",INDEX(Checklist!$E$3:$E$149,MATCH(LEFT($B12,3),Checklist!$C$3:$C$149,0))&amp;" - "&amp;$D12,INDEX(Checklist!$E$3:$E$149,MATCH($A12,Checklist!$P$3:$P$149,0))))</f>
        <v/>
      </c>
      <c r="H12" s="28" t="str">
        <f>IF($A12="","",INDEX(Checklist!$G$3:$G$149,MATCH($A12,Checklist!$P$3:$P$149,0)))</f>
        <v/>
      </c>
      <c r="I12" s="30" t="str">
        <f>IF($A12="","",INDEX(Checklist!$N$3:$N$149,MATCH($A12,Checklist!$P$3:$P$149,0)))</f>
        <v/>
      </c>
      <c r="J12" s="27"/>
      <c r="K12" s="27"/>
      <c r="L12" s="29"/>
    </row>
    <row r="13" spans="1:12" ht="42" customHeight="1">
      <c r="A13" s="28" t="str">
        <f>IF(ROW()-4&lt;=COUNT(Checklist!$P$3:$P$149),ROW()-4,"")</f>
        <v/>
      </c>
      <c r="B13" s="28" t="str">
        <f>IF($A13="","",INDEX(Checklist!$C$3:$C$149,MATCH($A13,Checklist!$P$3:$P$149,0)))</f>
        <v/>
      </c>
      <c r="C13" s="28" t="str">
        <f>IF($A13="","",INDEX(Checklist!$B$3:$B$149,MATCH($A13,Checklist!$P$3:$P$149,0)))</f>
        <v/>
      </c>
      <c r="D13" s="28" t="str">
        <f>IF($A13="","",IF(INDEX(Checklist!$A$3:$A$149,MATCH($A13,Checklist!$P$3:$P$149,0))=7,IFERROR(LEFT(INDEX(Checklist!$E$3:$E$149,MATCH($A13,Checklist!$P$3:$P$149,0)),FIND(CHAR(10),INDEX(Checklist!$E$3:$E$149,MATCH($A13,Checklist!$P$3:$P$149,0)))-1),INDEX(Checklist!$E$3:$E$149,MATCH($A13,Checklist!$P$3:$P$149,0))),""))</f>
        <v/>
      </c>
      <c r="E13" s="28" t="str">
        <f>IF($A13="","",INDEX(Checklist!$D$3:$D$149,MATCH($A13,Checklist!$P$3:$P$149,0)))</f>
        <v/>
      </c>
      <c r="F13" s="28" t="str">
        <f>IF($A13="","",INDEX(Checklist!$F$3:$F$149,MATCH($A13,Checklist!$P$3:$P$149,0)))</f>
        <v/>
      </c>
      <c r="G13" s="28" t="str">
        <f>IF($A13="","",IF($D13&lt;&gt;"",INDEX(Checklist!$E$3:$E$149,MATCH(LEFT($B13,3),Checklist!$C$3:$C$149,0))&amp;" - "&amp;$D13,INDEX(Checklist!$E$3:$E$149,MATCH($A13,Checklist!$P$3:$P$149,0))))</f>
        <v/>
      </c>
      <c r="H13" s="28" t="str">
        <f>IF($A13="","",INDEX(Checklist!$G$3:$G$149,MATCH($A13,Checklist!$P$3:$P$149,0)))</f>
        <v/>
      </c>
      <c r="I13" s="30" t="str">
        <f>IF($A13="","",INDEX(Checklist!$N$3:$N$149,MATCH($A13,Checklist!$P$3:$P$149,0)))</f>
        <v/>
      </c>
      <c r="J13" s="27"/>
      <c r="K13" s="27"/>
      <c r="L13" s="29"/>
    </row>
    <row r="14" spans="1:12" ht="42" customHeight="1">
      <c r="A14" s="28" t="str">
        <f>IF(ROW()-4&lt;=COUNT(Checklist!$P$3:$P$149),ROW()-4,"")</f>
        <v/>
      </c>
      <c r="B14" s="28" t="str">
        <f>IF($A14="","",INDEX(Checklist!$C$3:$C$149,MATCH($A14,Checklist!$P$3:$P$149,0)))</f>
        <v/>
      </c>
      <c r="C14" s="28" t="str">
        <f>IF($A14="","",INDEX(Checklist!$B$3:$B$149,MATCH($A14,Checklist!$P$3:$P$149,0)))</f>
        <v/>
      </c>
      <c r="D14" s="28" t="str">
        <f>IF($A14="","",IF(INDEX(Checklist!$A$3:$A$149,MATCH($A14,Checklist!$P$3:$P$149,0))=7,IFERROR(LEFT(INDEX(Checklist!$E$3:$E$149,MATCH($A14,Checklist!$P$3:$P$149,0)),FIND(CHAR(10),INDEX(Checklist!$E$3:$E$149,MATCH($A14,Checklist!$P$3:$P$149,0)))-1),INDEX(Checklist!$E$3:$E$149,MATCH($A14,Checklist!$P$3:$P$149,0))),""))</f>
        <v/>
      </c>
      <c r="E14" s="28" t="str">
        <f>IF($A14="","",INDEX(Checklist!$D$3:$D$149,MATCH($A14,Checklist!$P$3:$P$149,0)))</f>
        <v/>
      </c>
      <c r="F14" s="28" t="str">
        <f>IF($A14="","",INDEX(Checklist!$F$3:$F$149,MATCH($A14,Checklist!$P$3:$P$149,0)))</f>
        <v/>
      </c>
      <c r="G14" s="28" t="str">
        <f>IF($A14="","",IF($D14&lt;&gt;"",INDEX(Checklist!$E$3:$E$149,MATCH(LEFT($B14,3),Checklist!$C$3:$C$149,0))&amp;" - "&amp;$D14,INDEX(Checklist!$E$3:$E$149,MATCH($A14,Checklist!$P$3:$P$149,0))))</f>
        <v/>
      </c>
      <c r="H14" s="28" t="str">
        <f>IF($A14="","",INDEX(Checklist!$G$3:$G$149,MATCH($A14,Checklist!$P$3:$P$149,0)))</f>
        <v/>
      </c>
      <c r="I14" s="30" t="str">
        <f>IF($A14="","",INDEX(Checklist!$N$3:$N$149,MATCH($A14,Checklist!$P$3:$P$149,0)))</f>
        <v/>
      </c>
      <c r="J14" s="27"/>
      <c r="K14" s="27"/>
      <c r="L14" s="29"/>
    </row>
    <row r="15" spans="1:12" ht="42" customHeight="1">
      <c r="A15" s="28" t="str">
        <f>IF(ROW()-4&lt;=COUNT(Checklist!$P$3:$P$149),ROW()-4,"")</f>
        <v/>
      </c>
      <c r="B15" s="28" t="str">
        <f>IF($A15="","",INDEX(Checklist!$C$3:$C$149,MATCH($A15,Checklist!$P$3:$P$149,0)))</f>
        <v/>
      </c>
      <c r="C15" s="28" t="str">
        <f>IF($A15="","",INDEX(Checklist!$B$3:$B$149,MATCH($A15,Checklist!$P$3:$P$149,0)))</f>
        <v/>
      </c>
      <c r="D15" s="28" t="str">
        <f>IF($A15="","",IF(INDEX(Checklist!$A$3:$A$149,MATCH($A15,Checklist!$P$3:$P$149,0))=7,IFERROR(LEFT(INDEX(Checklist!$E$3:$E$149,MATCH($A15,Checklist!$P$3:$P$149,0)),FIND(CHAR(10),INDEX(Checklist!$E$3:$E$149,MATCH($A15,Checklist!$P$3:$P$149,0)))-1),INDEX(Checklist!$E$3:$E$149,MATCH($A15,Checklist!$P$3:$P$149,0))),""))</f>
        <v/>
      </c>
      <c r="E15" s="28" t="str">
        <f>IF($A15="","",INDEX(Checklist!$D$3:$D$149,MATCH($A15,Checklist!$P$3:$P$149,0)))</f>
        <v/>
      </c>
      <c r="F15" s="28" t="str">
        <f>IF($A15="","",INDEX(Checklist!$F$3:$F$149,MATCH($A15,Checklist!$P$3:$P$149,0)))</f>
        <v/>
      </c>
      <c r="G15" s="28" t="str">
        <f>IF($A15="","",IF($D15&lt;&gt;"",INDEX(Checklist!$E$3:$E$149,MATCH(LEFT($B15,3),Checklist!$C$3:$C$149,0))&amp;" - "&amp;$D15,INDEX(Checklist!$E$3:$E$149,MATCH($A15,Checklist!$P$3:$P$149,0))))</f>
        <v/>
      </c>
      <c r="H15" s="28" t="str">
        <f>IF($A15="","",INDEX(Checklist!$G$3:$G$149,MATCH($A15,Checklist!$P$3:$P$149,0)))</f>
        <v/>
      </c>
      <c r="I15" s="30" t="str">
        <f>IF($A15="","",INDEX(Checklist!$N$3:$N$149,MATCH($A15,Checklist!$P$3:$P$149,0)))</f>
        <v/>
      </c>
      <c r="J15" s="27"/>
      <c r="K15" s="27"/>
      <c r="L15" s="29"/>
    </row>
    <row r="16" spans="1:12" ht="42" customHeight="1">
      <c r="A16" s="28" t="str">
        <f>IF(ROW()-4&lt;=COUNT(Checklist!$P$3:$P$149),ROW()-4,"")</f>
        <v/>
      </c>
      <c r="B16" s="28" t="str">
        <f>IF($A16="","",INDEX(Checklist!$C$3:$C$149,MATCH($A16,Checklist!$P$3:$P$149,0)))</f>
        <v/>
      </c>
      <c r="C16" s="28" t="str">
        <f>IF($A16="","",INDEX(Checklist!$B$3:$B$149,MATCH($A16,Checklist!$P$3:$P$149,0)))</f>
        <v/>
      </c>
      <c r="D16" s="28" t="str">
        <f>IF($A16="","",IF(INDEX(Checklist!$A$3:$A$149,MATCH($A16,Checklist!$P$3:$P$149,0))=7,IFERROR(LEFT(INDEX(Checklist!$E$3:$E$149,MATCH($A16,Checklist!$P$3:$P$149,0)),FIND(CHAR(10),INDEX(Checklist!$E$3:$E$149,MATCH($A16,Checklist!$P$3:$P$149,0)))-1),INDEX(Checklist!$E$3:$E$149,MATCH($A16,Checklist!$P$3:$P$149,0))),""))</f>
        <v/>
      </c>
      <c r="E16" s="28" t="str">
        <f>IF($A16="","",INDEX(Checklist!$D$3:$D$149,MATCH($A16,Checklist!$P$3:$P$149,0)))</f>
        <v/>
      </c>
      <c r="F16" s="28" t="str">
        <f>IF($A16="","",INDEX(Checklist!$F$3:$F$149,MATCH($A16,Checklist!$P$3:$P$149,0)))</f>
        <v/>
      </c>
      <c r="G16" s="28" t="str">
        <f>IF($A16="","",IF($D16&lt;&gt;"",INDEX(Checklist!$E$3:$E$149,MATCH(LEFT($B16,3),Checklist!$C$3:$C$149,0))&amp;" - "&amp;$D16,INDEX(Checklist!$E$3:$E$149,MATCH($A16,Checklist!$P$3:$P$149,0))))</f>
        <v/>
      </c>
      <c r="H16" s="28" t="str">
        <f>IF($A16="","",INDEX(Checklist!$G$3:$G$149,MATCH($A16,Checklist!$P$3:$P$149,0)))</f>
        <v/>
      </c>
      <c r="I16" s="30" t="str">
        <f>IF($A16="","",INDEX(Checklist!$N$3:$N$149,MATCH($A16,Checklist!$P$3:$P$149,0)))</f>
        <v/>
      </c>
      <c r="J16" s="27"/>
      <c r="K16" s="27"/>
      <c r="L16" s="29"/>
    </row>
    <row r="17" spans="1:12" ht="42" customHeight="1">
      <c r="A17" s="28" t="str">
        <f>IF(ROW()-4&lt;=COUNT(Checklist!$P$3:$P$149),ROW()-4,"")</f>
        <v/>
      </c>
      <c r="B17" s="28" t="str">
        <f>IF($A17="","",INDEX(Checklist!$C$3:$C$149,MATCH($A17,Checklist!$P$3:$P$149,0)))</f>
        <v/>
      </c>
      <c r="C17" s="28" t="str">
        <f>IF($A17="","",INDEX(Checklist!$B$3:$B$149,MATCH($A17,Checklist!$P$3:$P$149,0)))</f>
        <v/>
      </c>
      <c r="D17" s="28" t="str">
        <f>IF($A17="","",IF(INDEX(Checklist!$A$3:$A$149,MATCH($A17,Checklist!$P$3:$P$149,0))=7,IFERROR(LEFT(INDEX(Checklist!$E$3:$E$149,MATCH($A17,Checklist!$P$3:$P$149,0)),FIND(CHAR(10),INDEX(Checklist!$E$3:$E$149,MATCH($A17,Checklist!$P$3:$P$149,0)))-1),INDEX(Checklist!$E$3:$E$149,MATCH($A17,Checklist!$P$3:$P$149,0))),""))</f>
        <v/>
      </c>
      <c r="E17" s="28" t="str">
        <f>IF($A17="","",INDEX(Checklist!$D$3:$D$149,MATCH($A17,Checklist!$P$3:$P$149,0)))</f>
        <v/>
      </c>
      <c r="F17" s="28" t="str">
        <f>IF($A17="","",INDEX(Checklist!$F$3:$F$149,MATCH($A17,Checklist!$P$3:$P$149,0)))</f>
        <v/>
      </c>
      <c r="G17" s="28" t="str">
        <f>IF($A17="","",IF($D17&lt;&gt;"",INDEX(Checklist!$E$3:$E$149,MATCH(LEFT($B17,3),Checklist!$C$3:$C$149,0))&amp;" - "&amp;$D17,INDEX(Checklist!$E$3:$E$149,MATCH($A17,Checklist!$P$3:$P$149,0))))</f>
        <v/>
      </c>
      <c r="H17" s="28" t="str">
        <f>IF($A17="","",INDEX(Checklist!$G$3:$G$149,MATCH($A17,Checklist!$P$3:$P$149,0)))</f>
        <v/>
      </c>
      <c r="I17" s="30" t="str">
        <f>IF($A17="","",INDEX(Checklist!$N$3:$N$149,MATCH($A17,Checklist!$P$3:$P$149,0)))</f>
        <v/>
      </c>
      <c r="J17" s="27"/>
      <c r="K17" s="27"/>
      <c r="L17" s="29"/>
    </row>
    <row r="18" spans="1:12" ht="42" customHeight="1">
      <c r="A18" s="28" t="str">
        <f>IF(ROW()-4&lt;=COUNT(Checklist!$P$3:$P$149),ROW()-4,"")</f>
        <v/>
      </c>
      <c r="B18" s="28" t="str">
        <f>IF($A18="","",INDEX(Checklist!$C$3:$C$149,MATCH($A18,Checklist!$P$3:$P$149,0)))</f>
        <v/>
      </c>
      <c r="C18" s="28" t="str">
        <f>IF($A18="","",INDEX(Checklist!$B$3:$B$149,MATCH($A18,Checklist!$P$3:$P$149,0)))</f>
        <v/>
      </c>
      <c r="D18" s="28" t="str">
        <f>IF($A18="","",IF(INDEX(Checklist!$A$3:$A$149,MATCH($A18,Checklist!$P$3:$P$149,0))=7,IFERROR(LEFT(INDEX(Checklist!$E$3:$E$149,MATCH($A18,Checklist!$P$3:$P$149,0)),FIND(CHAR(10),INDEX(Checklist!$E$3:$E$149,MATCH($A18,Checklist!$P$3:$P$149,0)))-1),INDEX(Checklist!$E$3:$E$149,MATCH($A18,Checklist!$P$3:$P$149,0))),""))</f>
        <v/>
      </c>
      <c r="E18" s="28" t="str">
        <f>IF($A18="","",INDEX(Checklist!$D$3:$D$149,MATCH($A18,Checklist!$P$3:$P$149,0)))</f>
        <v/>
      </c>
      <c r="F18" s="28" t="str">
        <f>IF($A18="","",INDEX(Checklist!$F$3:$F$149,MATCH($A18,Checklist!$P$3:$P$149,0)))</f>
        <v/>
      </c>
      <c r="G18" s="28" t="str">
        <f>IF($A18="","",IF($D18&lt;&gt;"",INDEX(Checklist!$E$3:$E$149,MATCH(LEFT($B18,3),Checklist!$C$3:$C$149,0))&amp;" - "&amp;$D18,INDEX(Checklist!$E$3:$E$149,MATCH($A18,Checklist!$P$3:$P$149,0))))</f>
        <v/>
      </c>
      <c r="H18" s="28" t="str">
        <f>IF($A18="","",INDEX(Checklist!$G$3:$G$149,MATCH($A18,Checklist!$P$3:$P$149,0)))</f>
        <v/>
      </c>
      <c r="I18" s="30" t="str">
        <f>IF($A18="","",INDEX(Checklist!$N$3:$N$149,MATCH($A18,Checklist!$P$3:$P$149,0)))</f>
        <v/>
      </c>
      <c r="J18" s="27"/>
      <c r="K18" s="27"/>
      <c r="L18" s="29"/>
    </row>
    <row r="19" spans="1:12" ht="42" customHeight="1">
      <c r="A19" s="28" t="str">
        <f>IF(ROW()-4&lt;=COUNT(Checklist!$P$3:$P$149),ROW()-4,"")</f>
        <v/>
      </c>
      <c r="B19" s="28" t="str">
        <f>IF($A19="","",INDEX(Checklist!$C$3:$C$149,MATCH($A19,Checklist!$P$3:$P$149,0)))</f>
        <v/>
      </c>
      <c r="C19" s="28" t="str">
        <f>IF($A19="","",INDEX(Checklist!$B$3:$B$149,MATCH($A19,Checklist!$P$3:$P$149,0)))</f>
        <v/>
      </c>
      <c r="D19" s="28" t="str">
        <f>IF($A19="","",IF(INDEX(Checklist!$A$3:$A$149,MATCH($A19,Checklist!$P$3:$P$149,0))=7,IFERROR(LEFT(INDEX(Checklist!$E$3:$E$149,MATCH($A19,Checklist!$P$3:$P$149,0)),FIND(CHAR(10),INDEX(Checklist!$E$3:$E$149,MATCH($A19,Checklist!$P$3:$P$149,0)))-1),INDEX(Checklist!$E$3:$E$149,MATCH($A19,Checklist!$P$3:$P$149,0))),""))</f>
        <v/>
      </c>
      <c r="E19" s="28" t="str">
        <f>IF($A19="","",INDEX(Checklist!$D$3:$D$149,MATCH($A19,Checklist!$P$3:$P$149,0)))</f>
        <v/>
      </c>
      <c r="F19" s="28" t="str">
        <f>IF($A19="","",INDEX(Checklist!$F$3:$F$149,MATCH($A19,Checklist!$P$3:$P$149,0)))</f>
        <v/>
      </c>
      <c r="G19" s="28" t="str">
        <f>IF($A19="","",IF($D19&lt;&gt;"",INDEX(Checklist!$E$3:$E$149,MATCH(LEFT($B19,3),Checklist!$C$3:$C$149,0))&amp;" - "&amp;$D19,INDEX(Checklist!$E$3:$E$149,MATCH($A19,Checklist!$P$3:$P$149,0))))</f>
        <v/>
      </c>
      <c r="H19" s="28" t="str">
        <f>IF($A19="","",INDEX(Checklist!$G$3:$G$149,MATCH($A19,Checklist!$P$3:$P$149,0)))</f>
        <v/>
      </c>
      <c r="I19" s="30" t="str">
        <f>IF($A19="","",INDEX(Checklist!$N$3:$N$149,MATCH($A19,Checklist!$P$3:$P$149,0)))</f>
        <v/>
      </c>
      <c r="J19" s="27"/>
      <c r="K19" s="27"/>
      <c r="L19" s="29"/>
    </row>
    <row r="20" spans="1:12" ht="42" customHeight="1">
      <c r="A20" s="28" t="str">
        <f>IF(ROW()-4&lt;=COUNT(Checklist!$P$3:$P$149),ROW()-4,"")</f>
        <v/>
      </c>
      <c r="B20" s="28" t="str">
        <f>IF($A20="","",INDEX(Checklist!$C$3:$C$149,MATCH($A20,Checklist!$P$3:$P$149,0)))</f>
        <v/>
      </c>
      <c r="C20" s="28" t="str">
        <f>IF($A20="","",INDEX(Checklist!$B$3:$B$149,MATCH($A20,Checklist!$P$3:$P$149,0)))</f>
        <v/>
      </c>
      <c r="D20" s="28" t="str">
        <f>IF($A20="","",IF(INDEX(Checklist!$A$3:$A$149,MATCH($A20,Checklist!$P$3:$P$149,0))=7,IFERROR(LEFT(INDEX(Checklist!$E$3:$E$149,MATCH($A20,Checklist!$P$3:$P$149,0)),FIND(CHAR(10),INDEX(Checklist!$E$3:$E$149,MATCH($A20,Checklist!$P$3:$P$149,0)))-1),INDEX(Checklist!$E$3:$E$149,MATCH($A20,Checklist!$P$3:$P$149,0))),""))</f>
        <v/>
      </c>
      <c r="E20" s="28" t="str">
        <f>IF($A20="","",INDEX(Checklist!$D$3:$D$149,MATCH($A20,Checklist!$P$3:$P$149,0)))</f>
        <v/>
      </c>
      <c r="F20" s="28" t="str">
        <f>IF($A20="","",INDEX(Checklist!$F$3:$F$149,MATCH($A20,Checklist!$P$3:$P$149,0)))</f>
        <v/>
      </c>
      <c r="G20" s="28" t="str">
        <f>IF($A20="","",IF($D20&lt;&gt;"",INDEX(Checklist!$E$3:$E$149,MATCH(LEFT($B20,3),Checklist!$C$3:$C$149,0))&amp;" - "&amp;$D20,INDEX(Checklist!$E$3:$E$149,MATCH($A20,Checklist!$P$3:$P$149,0))))</f>
        <v/>
      </c>
      <c r="H20" s="28" t="str">
        <f>IF($A20="","",INDEX(Checklist!$G$3:$G$149,MATCH($A20,Checklist!$P$3:$P$149,0)))</f>
        <v/>
      </c>
      <c r="I20" s="30" t="str">
        <f>IF($A20="","",INDEX(Checklist!$N$3:$N$149,MATCH($A20,Checklist!$P$3:$P$149,0)))</f>
        <v/>
      </c>
      <c r="J20" s="27"/>
      <c r="K20" s="27"/>
      <c r="L20" s="29"/>
    </row>
    <row r="21" spans="1:12" ht="42" customHeight="1">
      <c r="A21" s="28" t="str">
        <f>IF(ROW()-4&lt;=COUNT(Checklist!$P$3:$P$149),ROW()-4,"")</f>
        <v/>
      </c>
      <c r="B21" s="28" t="str">
        <f>IF($A21="","",INDEX(Checklist!$C$3:$C$149,MATCH($A21,Checklist!$P$3:$P$149,0)))</f>
        <v/>
      </c>
      <c r="C21" s="28" t="str">
        <f>IF($A21="","",INDEX(Checklist!$B$3:$B$149,MATCH($A21,Checklist!$P$3:$P$149,0)))</f>
        <v/>
      </c>
      <c r="D21" s="28" t="str">
        <f>IF($A21="","",IF(INDEX(Checklist!$A$3:$A$149,MATCH($A21,Checklist!$P$3:$P$149,0))=7,IFERROR(LEFT(INDEX(Checklist!$E$3:$E$149,MATCH($A21,Checklist!$P$3:$P$149,0)),FIND(CHAR(10),INDEX(Checklist!$E$3:$E$149,MATCH($A21,Checklist!$P$3:$P$149,0)))-1),INDEX(Checklist!$E$3:$E$149,MATCH($A21,Checklist!$P$3:$P$149,0))),""))</f>
        <v/>
      </c>
      <c r="E21" s="28" t="str">
        <f>IF($A21="","",INDEX(Checklist!$D$3:$D$149,MATCH($A21,Checklist!$P$3:$P$149,0)))</f>
        <v/>
      </c>
      <c r="F21" s="28" t="str">
        <f>IF($A21="","",INDEX(Checklist!$F$3:$F$149,MATCH($A21,Checklist!$P$3:$P$149,0)))</f>
        <v/>
      </c>
      <c r="G21" s="28" t="str">
        <f>IF($A21="","",IF($D21&lt;&gt;"",INDEX(Checklist!$E$3:$E$149,MATCH(LEFT($B21,3),Checklist!$C$3:$C$149,0))&amp;" - "&amp;$D21,INDEX(Checklist!$E$3:$E$149,MATCH($A21,Checklist!$P$3:$P$149,0))))</f>
        <v/>
      </c>
      <c r="H21" s="28" t="str">
        <f>IF($A21="","",INDEX(Checklist!$G$3:$G$149,MATCH($A21,Checklist!$P$3:$P$149,0)))</f>
        <v/>
      </c>
      <c r="I21" s="30" t="str">
        <f>IF($A21="","",INDEX(Checklist!$N$3:$N$149,MATCH($A21,Checklist!$P$3:$P$149,0)))</f>
        <v/>
      </c>
      <c r="J21" s="27"/>
      <c r="K21" s="27"/>
      <c r="L21" s="29"/>
    </row>
    <row r="22" spans="1:12" ht="42" customHeight="1">
      <c r="A22" s="28" t="str">
        <f>IF(ROW()-4&lt;=COUNT(Checklist!$P$3:$P$149),ROW()-4,"")</f>
        <v/>
      </c>
      <c r="B22" s="28" t="str">
        <f>IF($A22="","",INDEX(Checklist!$C$3:$C$149,MATCH($A22,Checklist!$P$3:$P$149,0)))</f>
        <v/>
      </c>
      <c r="C22" s="28" t="str">
        <f>IF($A22="","",INDEX(Checklist!$B$3:$B$149,MATCH($A22,Checklist!$P$3:$P$149,0)))</f>
        <v/>
      </c>
      <c r="D22" s="28" t="str">
        <f>IF($A22="","",IF(INDEX(Checklist!$A$3:$A$149,MATCH($A22,Checklist!$P$3:$P$149,0))=7,IFERROR(LEFT(INDEX(Checklist!$E$3:$E$149,MATCH($A22,Checklist!$P$3:$P$149,0)),FIND(CHAR(10),INDEX(Checklist!$E$3:$E$149,MATCH($A22,Checklist!$P$3:$P$149,0)))-1),INDEX(Checklist!$E$3:$E$149,MATCH($A22,Checklist!$P$3:$P$149,0))),""))</f>
        <v/>
      </c>
      <c r="E22" s="28" t="str">
        <f>IF($A22="","",INDEX(Checklist!$D$3:$D$149,MATCH($A22,Checklist!$P$3:$P$149,0)))</f>
        <v/>
      </c>
      <c r="F22" s="28" t="str">
        <f>IF($A22="","",INDEX(Checklist!$F$3:$F$149,MATCH($A22,Checklist!$P$3:$P$149,0)))</f>
        <v/>
      </c>
      <c r="G22" s="28" t="str">
        <f>IF($A22="","",IF($D22&lt;&gt;"",INDEX(Checklist!$E$3:$E$149,MATCH(LEFT($B22,3),Checklist!$C$3:$C$149,0))&amp;" - "&amp;$D22,INDEX(Checklist!$E$3:$E$149,MATCH($A22,Checklist!$P$3:$P$149,0))))</f>
        <v/>
      </c>
      <c r="H22" s="28" t="str">
        <f>IF($A22="","",INDEX(Checklist!$G$3:$G$149,MATCH($A22,Checklist!$P$3:$P$149,0)))</f>
        <v/>
      </c>
      <c r="I22" s="30" t="str">
        <f>IF($A22="","",INDEX(Checklist!$N$3:$N$149,MATCH($A22,Checklist!$P$3:$P$149,0)))</f>
        <v/>
      </c>
      <c r="J22" s="27"/>
      <c r="K22" s="27"/>
      <c r="L22" s="29"/>
    </row>
    <row r="23" spans="1:12" ht="42" customHeight="1">
      <c r="A23" s="28" t="str">
        <f>IF(ROW()-4&lt;=COUNT(Checklist!$P$3:$P$149),ROW()-4,"")</f>
        <v/>
      </c>
      <c r="B23" s="28" t="str">
        <f>IF($A23="","",INDEX(Checklist!$C$3:$C$149,MATCH($A23,Checklist!$P$3:$P$149,0)))</f>
        <v/>
      </c>
      <c r="C23" s="28" t="str">
        <f>IF($A23="","",INDEX(Checklist!$B$3:$B$149,MATCH($A23,Checklist!$P$3:$P$149,0)))</f>
        <v/>
      </c>
      <c r="D23" s="28" t="str">
        <f>IF($A23="","",IF(INDEX(Checklist!$A$3:$A$149,MATCH($A23,Checklist!$P$3:$P$149,0))=7,IFERROR(LEFT(INDEX(Checklist!$E$3:$E$149,MATCH($A23,Checklist!$P$3:$P$149,0)),FIND(CHAR(10),INDEX(Checklist!$E$3:$E$149,MATCH($A23,Checklist!$P$3:$P$149,0)))-1),INDEX(Checklist!$E$3:$E$149,MATCH($A23,Checklist!$P$3:$P$149,0))),""))</f>
        <v/>
      </c>
      <c r="E23" s="28" t="str">
        <f>IF($A23="","",INDEX(Checklist!$D$3:$D$149,MATCH($A23,Checklist!$P$3:$P$149,0)))</f>
        <v/>
      </c>
      <c r="F23" s="28" t="str">
        <f>IF($A23="","",INDEX(Checklist!$F$3:$F$149,MATCH($A23,Checklist!$P$3:$P$149,0)))</f>
        <v/>
      </c>
      <c r="G23" s="28" t="str">
        <f>IF($A23="","",IF($D23&lt;&gt;"",INDEX(Checklist!$E$3:$E$149,MATCH(LEFT($B23,3),Checklist!$C$3:$C$149,0))&amp;" - "&amp;$D23,INDEX(Checklist!$E$3:$E$149,MATCH($A23,Checklist!$P$3:$P$149,0))))</f>
        <v/>
      </c>
      <c r="H23" s="28" t="str">
        <f>IF($A23="","",INDEX(Checklist!$G$3:$G$149,MATCH($A23,Checklist!$P$3:$P$149,0)))</f>
        <v/>
      </c>
      <c r="I23" s="30" t="str">
        <f>IF($A23="","",INDEX(Checklist!$N$3:$N$149,MATCH($A23,Checklist!$P$3:$P$149,0)))</f>
        <v/>
      </c>
      <c r="J23" s="27"/>
      <c r="K23" s="27"/>
      <c r="L23" s="29"/>
    </row>
    <row r="24" spans="1:12" ht="42" customHeight="1">
      <c r="A24" s="28" t="str">
        <f>IF(ROW()-4&lt;=COUNT(Checklist!$P$3:$P$149),ROW()-4,"")</f>
        <v/>
      </c>
      <c r="B24" s="28" t="str">
        <f>IF($A24="","",INDEX(Checklist!$C$3:$C$149,MATCH($A24,Checklist!$P$3:$P$149,0)))</f>
        <v/>
      </c>
      <c r="C24" s="28" t="str">
        <f>IF($A24="","",INDEX(Checklist!$B$3:$B$149,MATCH($A24,Checklist!$P$3:$P$149,0)))</f>
        <v/>
      </c>
      <c r="D24" s="28" t="str">
        <f>IF($A24="","",IF(INDEX(Checklist!$A$3:$A$149,MATCH($A24,Checklist!$P$3:$P$149,0))=7,IFERROR(LEFT(INDEX(Checklist!$E$3:$E$149,MATCH($A24,Checklist!$P$3:$P$149,0)),FIND(CHAR(10),INDEX(Checklist!$E$3:$E$149,MATCH($A24,Checklist!$P$3:$P$149,0)))-1),INDEX(Checklist!$E$3:$E$149,MATCH($A24,Checklist!$P$3:$P$149,0))),""))</f>
        <v/>
      </c>
      <c r="E24" s="28" t="str">
        <f>IF($A24="","",INDEX(Checklist!$D$3:$D$149,MATCH($A24,Checklist!$P$3:$P$149,0)))</f>
        <v/>
      </c>
      <c r="F24" s="28" t="str">
        <f>IF($A24="","",INDEX(Checklist!$F$3:$F$149,MATCH($A24,Checklist!$P$3:$P$149,0)))</f>
        <v/>
      </c>
      <c r="G24" s="28" t="str">
        <f>IF($A24="","",IF($D24&lt;&gt;"",INDEX(Checklist!$E$3:$E$149,MATCH(LEFT($B24,3),Checklist!$C$3:$C$149,0))&amp;" - "&amp;$D24,INDEX(Checklist!$E$3:$E$149,MATCH($A24,Checklist!$P$3:$P$149,0))))</f>
        <v/>
      </c>
      <c r="H24" s="28" t="str">
        <f>IF($A24="","",INDEX(Checklist!$G$3:$G$149,MATCH($A24,Checklist!$P$3:$P$149,0)))</f>
        <v/>
      </c>
      <c r="I24" s="30" t="str">
        <f>IF($A24="","",INDEX(Checklist!$N$3:$N$149,MATCH($A24,Checklist!$P$3:$P$149,0)))</f>
        <v/>
      </c>
      <c r="J24" s="27"/>
      <c r="K24" s="27"/>
      <c r="L24" s="29"/>
    </row>
    <row r="25" spans="1:12" ht="42" customHeight="1">
      <c r="A25" s="28" t="str">
        <f>IF(ROW()-4&lt;=COUNT(Checklist!$P$3:$P$149),ROW()-4,"")</f>
        <v/>
      </c>
      <c r="B25" s="28" t="str">
        <f>IF($A25="","",INDEX(Checklist!$C$3:$C$149,MATCH($A25,Checklist!$P$3:$P$149,0)))</f>
        <v/>
      </c>
      <c r="C25" s="28" t="str">
        <f>IF($A25="","",INDEX(Checklist!$B$3:$B$149,MATCH($A25,Checklist!$P$3:$P$149,0)))</f>
        <v/>
      </c>
      <c r="D25" s="28" t="str">
        <f>IF($A25="","",IF(INDEX(Checklist!$A$3:$A$149,MATCH($A25,Checklist!$P$3:$P$149,0))=7,IFERROR(LEFT(INDEX(Checklist!$E$3:$E$149,MATCH($A25,Checklist!$P$3:$P$149,0)),FIND(CHAR(10),INDEX(Checklist!$E$3:$E$149,MATCH($A25,Checklist!$P$3:$P$149,0)))-1),INDEX(Checklist!$E$3:$E$149,MATCH($A25,Checklist!$P$3:$P$149,0))),""))</f>
        <v/>
      </c>
      <c r="E25" s="28" t="str">
        <f>IF($A25="","",INDEX(Checklist!$D$3:$D$149,MATCH($A25,Checklist!$P$3:$P$149,0)))</f>
        <v/>
      </c>
      <c r="F25" s="28" t="str">
        <f>IF($A25="","",INDEX(Checklist!$F$3:$F$149,MATCH($A25,Checklist!$P$3:$P$149,0)))</f>
        <v/>
      </c>
      <c r="G25" s="28" t="str">
        <f>IF($A25="","",IF($D25&lt;&gt;"",INDEX(Checklist!$E$3:$E$149,MATCH(LEFT($B25,3),Checklist!$C$3:$C$149,0))&amp;" - "&amp;$D25,INDEX(Checklist!$E$3:$E$149,MATCH($A25,Checklist!$P$3:$P$149,0))))</f>
        <v/>
      </c>
      <c r="H25" s="28" t="str">
        <f>IF($A25="","",INDEX(Checklist!$G$3:$G$149,MATCH($A25,Checklist!$P$3:$P$149,0)))</f>
        <v/>
      </c>
      <c r="I25" s="30" t="str">
        <f>IF($A25="","",INDEX(Checklist!$N$3:$N$149,MATCH($A25,Checklist!$P$3:$P$149,0)))</f>
        <v/>
      </c>
      <c r="J25" s="27"/>
      <c r="K25" s="27"/>
      <c r="L25" s="29"/>
    </row>
    <row r="26" spans="1:12" ht="42" customHeight="1">
      <c r="A26" s="28" t="str">
        <f>IF(ROW()-4&lt;=COUNT(Checklist!$P$3:$P$149),ROW()-4,"")</f>
        <v/>
      </c>
      <c r="B26" s="28" t="str">
        <f>IF($A26="","",INDEX(Checklist!$C$3:$C$149,MATCH($A26,Checklist!$P$3:$P$149,0)))</f>
        <v/>
      </c>
      <c r="C26" s="28" t="str">
        <f>IF($A26="","",INDEX(Checklist!$B$3:$B$149,MATCH($A26,Checklist!$P$3:$P$149,0)))</f>
        <v/>
      </c>
      <c r="D26" s="28" t="str">
        <f>IF($A26="","",IF(INDEX(Checklist!$A$3:$A$149,MATCH($A26,Checklist!$P$3:$P$149,0))=7,IFERROR(LEFT(INDEX(Checklist!$E$3:$E$149,MATCH($A26,Checklist!$P$3:$P$149,0)),FIND(CHAR(10),INDEX(Checklist!$E$3:$E$149,MATCH($A26,Checklist!$P$3:$P$149,0)))-1),INDEX(Checklist!$E$3:$E$149,MATCH($A26,Checklist!$P$3:$P$149,0))),""))</f>
        <v/>
      </c>
      <c r="E26" s="28" t="str">
        <f>IF($A26="","",INDEX(Checklist!$D$3:$D$149,MATCH($A26,Checklist!$P$3:$P$149,0)))</f>
        <v/>
      </c>
      <c r="F26" s="28" t="str">
        <f>IF($A26="","",INDEX(Checklist!$F$3:$F$149,MATCH($A26,Checklist!$P$3:$P$149,0)))</f>
        <v/>
      </c>
      <c r="G26" s="28" t="str">
        <f>IF($A26="","",IF($D26&lt;&gt;"",INDEX(Checklist!$E$3:$E$149,MATCH(LEFT($B26,3),Checklist!$C$3:$C$149,0))&amp;" - "&amp;$D26,INDEX(Checklist!$E$3:$E$149,MATCH($A26,Checklist!$P$3:$P$149,0))))</f>
        <v/>
      </c>
      <c r="H26" s="28" t="str">
        <f>IF($A26="","",INDEX(Checklist!$G$3:$G$149,MATCH($A26,Checklist!$P$3:$P$149,0)))</f>
        <v/>
      </c>
      <c r="I26" s="30" t="str">
        <f>IF($A26="","",INDEX(Checklist!$N$3:$N$149,MATCH($A26,Checklist!$P$3:$P$149,0)))</f>
        <v/>
      </c>
      <c r="J26" s="27"/>
      <c r="K26" s="27"/>
      <c r="L26" s="29"/>
    </row>
    <row r="27" spans="1:12" ht="42" customHeight="1">
      <c r="A27" s="28" t="str">
        <f>IF(ROW()-4&lt;=COUNT(Checklist!$P$3:$P$149),ROW()-4,"")</f>
        <v/>
      </c>
      <c r="B27" s="28" t="str">
        <f>IF($A27="","",INDEX(Checklist!$C$3:$C$149,MATCH($A27,Checklist!$P$3:$P$149,0)))</f>
        <v/>
      </c>
      <c r="C27" s="28" t="str">
        <f>IF($A27="","",INDEX(Checklist!$B$3:$B$149,MATCH($A27,Checklist!$P$3:$P$149,0)))</f>
        <v/>
      </c>
      <c r="D27" s="28" t="str">
        <f>IF($A27="","",IF(INDEX(Checklist!$A$3:$A$149,MATCH($A27,Checklist!$P$3:$P$149,0))=7,IFERROR(LEFT(INDEX(Checklist!$E$3:$E$149,MATCH($A27,Checklist!$P$3:$P$149,0)),FIND(CHAR(10),INDEX(Checklist!$E$3:$E$149,MATCH($A27,Checklist!$P$3:$P$149,0)))-1),INDEX(Checklist!$E$3:$E$149,MATCH($A27,Checklist!$P$3:$P$149,0))),""))</f>
        <v/>
      </c>
      <c r="E27" s="28" t="str">
        <f>IF($A27="","",INDEX(Checklist!$D$3:$D$149,MATCH($A27,Checklist!$P$3:$P$149,0)))</f>
        <v/>
      </c>
      <c r="F27" s="28" t="str">
        <f>IF($A27="","",INDEX(Checklist!$F$3:$F$149,MATCH($A27,Checklist!$P$3:$P$149,0)))</f>
        <v/>
      </c>
      <c r="G27" s="28" t="str">
        <f>IF($A27="","",IF($D27&lt;&gt;"",INDEX(Checklist!$E$3:$E$149,MATCH(LEFT($B27,3),Checklist!$C$3:$C$149,0))&amp;" - "&amp;$D27,INDEX(Checklist!$E$3:$E$149,MATCH($A27,Checklist!$P$3:$P$149,0))))</f>
        <v/>
      </c>
      <c r="H27" s="28" t="str">
        <f>IF($A27="","",INDEX(Checklist!$G$3:$G$149,MATCH($A27,Checklist!$P$3:$P$149,0)))</f>
        <v/>
      </c>
      <c r="I27" s="30" t="str">
        <f>IF($A27="","",INDEX(Checklist!$N$3:$N$149,MATCH($A27,Checklist!$P$3:$P$149,0)))</f>
        <v/>
      </c>
      <c r="J27" s="27"/>
      <c r="K27" s="27"/>
      <c r="L27" s="29"/>
    </row>
    <row r="28" spans="1:12" ht="42" customHeight="1">
      <c r="A28" s="28" t="str">
        <f>IF(ROW()-4&lt;=COUNT(Checklist!$P$3:$P$149),ROW()-4,"")</f>
        <v/>
      </c>
      <c r="B28" s="28" t="str">
        <f>IF($A28="","",INDEX(Checklist!$C$3:$C$149,MATCH($A28,Checklist!$P$3:$P$149,0)))</f>
        <v/>
      </c>
      <c r="C28" s="28" t="str">
        <f>IF($A28="","",INDEX(Checklist!$B$3:$B$149,MATCH($A28,Checklist!$P$3:$P$149,0)))</f>
        <v/>
      </c>
      <c r="D28" s="28" t="str">
        <f>IF($A28="","",IF(INDEX(Checklist!$A$3:$A$149,MATCH($A28,Checklist!$P$3:$P$149,0))=7,IFERROR(LEFT(INDEX(Checklist!$E$3:$E$149,MATCH($A28,Checklist!$P$3:$P$149,0)),FIND(CHAR(10),INDEX(Checklist!$E$3:$E$149,MATCH($A28,Checklist!$P$3:$P$149,0)))-1),INDEX(Checklist!$E$3:$E$149,MATCH($A28,Checklist!$P$3:$P$149,0))),""))</f>
        <v/>
      </c>
      <c r="E28" s="28" t="str">
        <f>IF($A28="","",INDEX(Checklist!$D$3:$D$149,MATCH($A28,Checklist!$P$3:$P$149,0)))</f>
        <v/>
      </c>
      <c r="F28" s="28" t="str">
        <f>IF($A28="","",INDEX(Checklist!$F$3:$F$149,MATCH($A28,Checklist!$P$3:$P$149,0)))</f>
        <v/>
      </c>
      <c r="G28" s="28" t="str">
        <f>IF($A28="","",IF($D28&lt;&gt;"",INDEX(Checklist!$E$3:$E$149,MATCH(LEFT($B28,3),Checklist!$C$3:$C$149,0))&amp;" - "&amp;$D28,INDEX(Checklist!$E$3:$E$149,MATCH($A28,Checklist!$P$3:$P$149,0))))</f>
        <v/>
      </c>
      <c r="H28" s="28" t="str">
        <f>IF($A28="","",INDEX(Checklist!$G$3:$G$149,MATCH($A28,Checklist!$P$3:$P$149,0)))</f>
        <v/>
      </c>
      <c r="I28" s="30" t="str">
        <f>IF($A28="","",INDEX(Checklist!$N$3:$N$149,MATCH($A28,Checklist!$P$3:$P$149,0)))</f>
        <v/>
      </c>
      <c r="J28" s="27"/>
      <c r="K28" s="27"/>
      <c r="L28" s="29"/>
    </row>
    <row r="29" spans="1:12" ht="42" customHeight="1">
      <c r="A29" s="28" t="str">
        <f>IF(ROW()-4&lt;=COUNT(Checklist!$P$3:$P$149),ROW()-4,"")</f>
        <v/>
      </c>
      <c r="B29" s="28" t="str">
        <f>IF($A29="","",INDEX(Checklist!$C$3:$C$149,MATCH($A29,Checklist!$P$3:$P$149,0)))</f>
        <v/>
      </c>
      <c r="C29" s="28" t="str">
        <f>IF($A29="","",INDEX(Checklist!$B$3:$B$149,MATCH($A29,Checklist!$P$3:$P$149,0)))</f>
        <v/>
      </c>
      <c r="D29" s="28" t="str">
        <f>IF($A29="","",IF(INDEX(Checklist!$A$3:$A$149,MATCH($A29,Checklist!$P$3:$P$149,0))=7,IFERROR(LEFT(INDEX(Checklist!$E$3:$E$149,MATCH($A29,Checklist!$P$3:$P$149,0)),FIND(CHAR(10),INDEX(Checklist!$E$3:$E$149,MATCH($A29,Checklist!$P$3:$P$149,0)))-1),INDEX(Checklist!$E$3:$E$149,MATCH($A29,Checklist!$P$3:$P$149,0))),""))</f>
        <v/>
      </c>
      <c r="E29" s="28" t="str">
        <f>IF($A29="","",INDEX(Checklist!$D$3:$D$149,MATCH($A29,Checklist!$P$3:$P$149,0)))</f>
        <v/>
      </c>
      <c r="F29" s="28" t="str">
        <f>IF($A29="","",INDEX(Checklist!$F$3:$F$149,MATCH($A29,Checklist!$P$3:$P$149,0)))</f>
        <v/>
      </c>
      <c r="G29" s="28" t="str">
        <f>IF($A29="","",IF($D29&lt;&gt;"",INDEX(Checklist!$E$3:$E$149,MATCH(LEFT($B29,3),Checklist!$C$3:$C$149,0))&amp;" - "&amp;$D29,INDEX(Checklist!$E$3:$E$149,MATCH($A29,Checklist!$P$3:$P$149,0))))</f>
        <v/>
      </c>
      <c r="H29" s="28" t="str">
        <f>IF($A29="","",INDEX(Checklist!$G$3:$G$149,MATCH($A29,Checklist!$P$3:$P$149,0)))</f>
        <v/>
      </c>
      <c r="I29" s="30" t="str">
        <f>IF($A29="","",INDEX(Checklist!$N$3:$N$149,MATCH($A29,Checklist!$P$3:$P$149,0)))</f>
        <v/>
      </c>
      <c r="J29" s="27"/>
      <c r="K29" s="27"/>
      <c r="L29" s="29"/>
    </row>
    <row r="30" spans="1:12" ht="42" customHeight="1">
      <c r="A30" s="28" t="str">
        <f>IF(ROW()-4&lt;=COUNT(Checklist!$P$3:$P$149),ROW()-4,"")</f>
        <v/>
      </c>
      <c r="B30" s="28" t="str">
        <f>IF($A30="","",INDEX(Checklist!$C$3:$C$149,MATCH($A30,Checklist!$P$3:$P$149,0)))</f>
        <v/>
      </c>
      <c r="C30" s="28" t="str">
        <f>IF($A30="","",INDEX(Checklist!$B$3:$B$149,MATCH($A30,Checklist!$P$3:$P$149,0)))</f>
        <v/>
      </c>
      <c r="D30" s="28" t="str">
        <f>IF($A30="","",IF(INDEX(Checklist!$A$3:$A$149,MATCH($A30,Checklist!$P$3:$P$149,0))=7,IFERROR(LEFT(INDEX(Checklist!$E$3:$E$149,MATCH($A30,Checklist!$P$3:$P$149,0)),FIND(CHAR(10),INDEX(Checklist!$E$3:$E$149,MATCH($A30,Checklist!$P$3:$P$149,0)))-1),INDEX(Checklist!$E$3:$E$149,MATCH($A30,Checklist!$P$3:$P$149,0))),""))</f>
        <v/>
      </c>
      <c r="E30" s="28" t="str">
        <f>IF($A30="","",INDEX(Checklist!$D$3:$D$149,MATCH($A30,Checklist!$P$3:$P$149,0)))</f>
        <v/>
      </c>
      <c r="F30" s="28" t="str">
        <f>IF($A30="","",INDEX(Checklist!$F$3:$F$149,MATCH($A30,Checklist!$P$3:$P$149,0)))</f>
        <v/>
      </c>
      <c r="G30" s="28" t="str">
        <f>IF($A30="","",IF($D30&lt;&gt;"",INDEX(Checklist!$E$3:$E$149,MATCH(LEFT($B30,3),Checklist!$C$3:$C$149,0))&amp;" - "&amp;$D30,INDEX(Checklist!$E$3:$E$149,MATCH($A30,Checklist!$P$3:$P$149,0))))</f>
        <v/>
      </c>
      <c r="H30" s="28" t="str">
        <f>IF($A30="","",INDEX(Checklist!$G$3:$G$149,MATCH($A30,Checklist!$P$3:$P$149,0)))</f>
        <v/>
      </c>
      <c r="I30" s="30" t="str">
        <f>IF($A30="","",INDEX(Checklist!$N$3:$N$149,MATCH($A30,Checklist!$P$3:$P$149,0)))</f>
        <v/>
      </c>
      <c r="J30" s="27"/>
      <c r="K30" s="27"/>
      <c r="L30" s="29"/>
    </row>
    <row r="31" spans="1:12" ht="42" customHeight="1">
      <c r="A31" s="28" t="str">
        <f>IF(ROW()-4&lt;=COUNT(Checklist!$P$3:$P$149),ROW()-4,"")</f>
        <v/>
      </c>
      <c r="B31" s="28" t="str">
        <f>IF($A31="","",INDEX(Checklist!$C$3:$C$149,MATCH($A31,Checklist!$P$3:$P$149,0)))</f>
        <v/>
      </c>
      <c r="C31" s="28" t="str">
        <f>IF($A31="","",INDEX(Checklist!$B$3:$B$149,MATCH($A31,Checklist!$P$3:$P$149,0)))</f>
        <v/>
      </c>
      <c r="D31" s="28" t="str">
        <f>IF($A31="","",IF(INDEX(Checklist!$A$3:$A$149,MATCH($A31,Checklist!$P$3:$P$149,0))=7,IFERROR(LEFT(INDEX(Checklist!$E$3:$E$149,MATCH($A31,Checklist!$P$3:$P$149,0)),FIND(CHAR(10),INDEX(Checklist!$E$3:$E$149,MATCH($A31,Checklist!$P$3:$P$149,0)))-1),INDEX(Checklist!$E$3:$E$149,MATCH($A31,Checklist!$P$3:$P$149,0))),""))</f>
        <v/>
      </c>
      <c r="E31" s="28" t="str">
        <f>IF($A31="","",INDEX(Checklist!$D$3:$D$149,MATCH($A31,Checklist!$P$3:$P$149,0)))</f>
        <v/>
      </c>
      <c r="F31" s="28" t="str">
        <f>IF($A31="","",INDEX(Checklist!$F$3:$F$149,MATCH($A31,Checklist!$P$3:$P$149,0)))</f>
        <v/>
      </c>
      <c r="G31" s="28" t="str">
        <f>IF($A31="","",IF($D31&lt;&gt;"",INDEX(Checklist!$E$3:$E$149,MATCH(LEFT($B31,3),Checklist!$C$3:$C$149,0))&amp;" - "&amp;$D31,INDEX(Checklist!$E$3:$E$149,MATCH($A31,Checklist!$P$3:$P$149,0))))</f>
        <v/>
      </c>
      <c r="H31" s="28" t="str">
        <f>IF($A31="","",INDEX(Checklist!$G$3:$G$149,MATCH($A31,Checklist!$P$3:$P$149,0)))</f>
        <v/>
      </c>
      <c r="I31" s="30" t="str">
        <f>IF($A31="","",INDEX(Checklist!$N$3:$N$149,MATCH($A31,Checklist!$P$3:$P$149,0)))</f>
        <v/>
      </c>
      <c r="J31" s="27"/>
      <c r="K31" s="27"/>
      <c r="L31" s="29"/>
    </row>
    <row r="32" spans="1:12" ht="42" customHeight="1">
      <c r="A32" s="28" t="str">
        <f>IF(ROW()-4&lt;=COUNT(Checklist!$P$3:$P$149),ROW()-4,"")</f>
        <v/>
      </c>
      <c r="B32" s="28" t="str">
        <f>IF($A32="","",INDEX(Checklist!$C$3:$C$149,MATCH($A32,Checklist!$P$3:$P$149,0)))</f>
        <v/>
      </c>
      <c r="C32" s="28" t="str">
        <f>IF($A32="","",INDEX(Checklist!$B$3:$B$149,MATCH($A32,Checklist!$P$3:$P$149,0)))</f>
        <v/>
      </c>
      <c r="D32" s="28" t="str">
        <f>IF($A32="","",IF(INDEX(Checklist!$A$3:$A$149,MATCH($A32,Checklist!$P$3:$P$149,0))=7,IFERROR(LEFT(INDEX(Checklist!$E$3:$E$149,MATCH($A32,Checklist!$P$3:$P$149,0)),FIND(CHAR(10),INDEX(Checklist!$E$3:$E$149,MATCH($A32,Checklist!$P$3:$P$149,0)))-1),INDEX(Checklist!$E$3:$E$149,MATCH($A32,Checklist!$P$3:$P$149,0))),""))</f>
        <v/>
      </c>
      <c r="E32" s="28" t="str">
        <f>IF($A32="","",INDEX(Checklist!$D$3:$D$149,MATCH($A32,Checklist!$P$3:$P$149,0)))</f>
        <v/>
      </c>
      <c r="F32" s="28" t="str">
        <f>IF($A32="","",INDEX(Checklist!$F$3:$F$149,MATCH($A32,Checklist!$P$3:$P$149,0)))</f>
        <v/>
      </c>
      <c r="G32" s="28" t="str">
        <f>IF($A32="","",IF($D32&lt;&gt;"",INDEX(Checklist!$E$3:$E$149,MATCH(LEFT($B32,3),Checklist!$C$3:$C$149,0))&amp;" - "&amp;$D32,INDEX(Checklist!$E$3:$E$149,MATCH($A32,Checklist!$P$3:$P$149,0))))</f>
        <v/>
      </c>
      <c r="H32" s="28" t="str">
        <f>IF($A32="","",INDEX(Checklist!$G$3:$G$149,MATCH($A32,Checklist!$P$3:$P$149,0)))</f>
        <v/>
      </c>
      <c r="I32" s="30" t="str">
        <f>IF($A32="","",INDEX(Checklist!$N$3:$N$149,MATCH($A32,Checklist!$P$3:$P$149,0)))</f>
        <v/>
      </c>
      <c r="J32" s="27"/>
      <c r="K32" s="27"/>
      <c r="L32" s="29"/>
    </row>
    <row r="33" spans="1:12" ht="42" customHeight="1">
      <c r="A33" s="28" t="str">
        <f>IF(ROW()-4&lt;=COUNT(Checklist!$P$3:$P$149),ROW()-4,"")</f>
        <v/>
      </c>
      <c r="B33" s="28" t="str">
        <f>IF($A33="","",INDEX(Checklist!$C$3:$C$149,MATCH($A33,Checklist!$P$3:$P$149,0)))</f>
        <v/>
      </c>
      <c r="C33" s="28" t="str">
        <f>IF($A33="","",INDEX(Checklist!$B$3:$B$149,MATCH($A33,Checklist!$P$3:$P$149,0)))</f>
        <v/>
      </c>
      <c r="D33" s="28" t="str">
        <f>IF($A33="","",IF(INDEX(Checklist!$A$3:$A$149,MATCH($A33,Checklist!$P$3:$P$149,0))=7,IFERROR(LEFT(INDEX(Checklist!$E$3:$E$149,MATCH($A33,Checklist!$P$3:$P$149,0)),FIND(CHAR(10),INDEX(Checklist!$E$3:$E$149,MATCH($A33,Checklist!$P$3:$P$149,0)))-1),INDEX(Checklist!$E$3:$E$149,MATCH($A33,Checklist!$P$3:$P$149,0))),""))</f>
        <v/>
      </c>
      <c r="E33" s="28" t="str">
        <f>IF($A33="","",INDEX(Checklist!$D$3:$D$149,MATCH($A33,Checklist!$P$3:$P$149,0)))</f>
        <v/>
      </c>
      <c r="F33" s="28" t="str">
        <f>IF($A33="","",INDEX(Checklist!$F$3:$F$149,MATCH($A33,Checklist!$P$3:$P$149,0)))</f>
        <v/>
      </c>
      <c r="G33" s="28" t="str">
        <f>IF($A33="","",IF($D33&lt;&gt;"",INDEX(Checklist!$E$3:$E$149,MATCH(LEFT($B33,3),Checklist!$C$3:$C$149,0))&amp;" - "&amp;$D33,INDEX(Checklist!$E$3:$E$149,MATCH($A33,Checklist!$P$3:$P$149,0))))</f>
        <v/>
      </c>
      <c r="H33" s="28" t="str">
        <f>IF($A33="","",INDEX(Checklist!$G$3:$G$149,MATCH($A33,Checklist!$P$3:$P$149,0)))</f>
        <v/>
      </c>
      <c r="I33" s="30" t="str">
        <f>IF($A33="","",INDEX(Checklist!$N$3:$N$149,MATCH($A33,Checklist!$P$3:$P$149,0)))</f>
        <v/>
      </c>
      <c r="J33" s="27"/>
      <c r="K33" s="27"/>
      <c r="L33" s="29"/>
    </row>
    <row r="34" spans="1:12" ht="42" customHeight="1">
      <c r="A34" s="28" t="str">
        <f>IF(ROW()-4&lt;=COUNT(Checklist!$P$3:$P$149),ROW()-4,"")</f>
        <v/>
      </c>
      <c r="B34" s="28" t="str">
        <f>IF($A34="","",INDEX(Checklist!$C$3:$C$149,MATCH($A34,Checklist!$P$3:$P$149,0)))</f>
        <v/>
      </c>
      <c r="C34" s="28" t="str">
        <f>IF($A34="","",INDEX(Checklist!$B$3:$B$149,MATCH($A34,Checklist!$P$3:$P$149,0)))</f>
        <v/>
      </c>
      <c r="D34" s="28" t="str">
        <f>IF($A34="","",IF(INDEX(Checklist!$A$3:$A$149,MATCH($A34,Checklist!$P$3:$P$149,0))=7,IFERROR(LEFT(INDEX(Checklist!$E$3:$E$149,MATCH($A34,Checklist!$P$3:$P$149,0)),FIND(CHAR(10),INDEX(Checklist!$E$3:$E$149,MATCH($A34,Checklist!$P$3:$P$149,0)))-1),INDEX(Checklist!$E$3:$E$149,MATCH($A34,Checklist!$P$3:$P$149,0))),""))</f>
        <v/>
      </c>
      <c r="E34" s="28" t="str">
        <f>IF($A34="","",INDEX(Checklist!$D$3:$D$149,MATCH($A34,Checklist!$P$3:$P$149,0)))</f>
        <v/>
      </c>
      <c r="F34" s="28" t="str">
        <f>IF($A34="","",INDEX(Checklist!$F$3:$F$149,MATCH($A34,Checklist!$P$3:$P$149,0)))</f>
        <v/>
      </c>
      <c r="G34" s="28" t="str">
        <f>IF($A34="","",IF($D34&lt;&gt;"",INDEX(Checklist!$E$3:$E$149,MATCH(LEFT($B34,3),Checklist!$C$3:$C$149,0))&amp;" - "&amp;$D34,INDEX(Checklist!$E$3:$E$149,MATCH($A34,Checklist!$P$3:$P$149,0))))</f>
        <v/>
      </c>
      <c r="H34" s="28" t="str">
        <f>IF($A34="","",INDEX(Checklist!$G$3:$G$149,MATCH($A34,Checklist!$P$3:$P$149,0)))</f>
        <v/>
      </c>
      <c r="I34" s="30" t="str">
        <f>IF($A34="","",INDEX(Checklist!$N$3:$N$149,MATCH($A34,Checklist!$P$3:$P$149,0)))</f>
        <v/>
      </c>
      <c r="J34" s="27"/>
      <c r="K34" s="27"/>
      <c r="L34" s="29"/>
    </row>
    <row r="35" spans="1:12" ht="42" customHeight="1">
      <c r="A35" s="28" t="str">
        <f>IF(ROW()-4&lt;=COUNT(Checklist!$P$3:$P$149),ROW()-4,"")</f>
        <v/>
      </c>
      <c r="B35" s="28" t="str">
        <f>IF($A35="","",INDEX(Checklist!$C$3:$C$149,MATCH($A35,Checklist!$P$3:$P$149,0)))</f>
        <v/>
      </c>
      <c r="C35" s="28" t="str">
        <f>IF($A35="","",INDEX(Checklist!$B$3:$B$149,MATCH($A35,Checklist!$P$3:$P$149,0)))</f>
        <v/>
      </c>
      <c r="D35" s="28" t="str">
        <f>IF($A35="","",IF(INDEX(Checklist!$A$3:$A$149,MATCH($A35,Checklist!$P$3:$P$149,0))=7,IFERROR(LEFT(INDEX(Checklist!$E$3:$E$149,MATCH($A35,Checklist!$P$3:$P$149,0)),FIND(CHAR(10),INDEX(Checklist!$E$3:$E$149,MATCH($A35,Checklist!$P$3:$P$149,0)))-1),INDEX(Checklist!$E$3:$E$149,MATCH($A35,Checklist!$P$3:$P$149,0))),""))</f>
        <v/>
      </c>
      <c r="E35" s="28" t="str">
        <f>IF($A35="","",INDEX(Checklist!$D$3:$D$149,MATCH($A35,Checklist!$P$3:$P$149,0)))</f>
        <v/>
      </c>
      <c r="F35" s="28" t="str">
        <f>IF($A35="","",INDEX(Checklist!$F$3:$F$149,MATCH($A35,Checklist!$P$3:$P$149,0)))</f>
        <v/>
      </c>
      <c r="G35" s="28" t="str">
        <f>IF($A35="","",IF($D35&lt;&gt;"",INDEX(Checklist!$E$3:$E$149,MATCH(LEFT($B35,3),Checklist!$C$3:$C$149,0))&amp;" - "&amp;$D35,INDEX(Checklist!$E$3:$E$149,MATCH($A35,Checklist!$P$3:$P$149,0))))</f>
        <v/>
      </c>
      <c r="H35" s="28" t="str">
        <f>IF($A35="","",INDEX(Checklist!$G$3:$G$149,MATCH($A35,Checklist!$P$3:$P$149,0)))</f>
        <v/>
      </c>
      <c r="I35" s="30" t="str">
        <f>IF($A35="","",INDEX(Checklist!$N$3:$N$149,MATCH($A35,Checklist!$P$3:$P$149,0)))</f>
        <v/>
      </c>
      <c r="J35" s="27"/>
      <c r="K35" s="27"/>
      <c r="L35" s="29"/>
    </row>
    <row r="36" spans="1:12" ht="42" customHeight="1">
      <c r="A36" s="28" t="str">
        <f>IF(ROW()-4&lt;=COUNT(Checklist!$P$3:$P$149),ROW()-4,"")</f>
        <v/>
      </c>
      <c r="B36" s="28" t="str">
        <f>IF($A36="","",INDEX(Checklist!$C$3:$C$149,MATCH($A36,Checklist!$P$3:$P$149,0)))</f>
        <v/>
      </c>
      <c r="C36" s="28" t="str">
        <f>IF($A36="","",INDEX(Checklist!$B$3:$B$149,MATCH($A36,Checklist!$P$3:$P$149,0)))</f>
        <v/>
      </c>
      <c r="D36" s="28" t="str">
        <f>IF($A36="","",IF(INDEX(Checklist!$A$3:$A$149,MATCH($A36,Checklist!$P$3:$P$149,0))=7,IFERROR(LEFT(INDEX(Checklist!$E$3:$E$149,MATCH($A36,Checklist!$P$3:$P$149,0)),FIND(CHAR(10),INDEX(Checklist!$E$3:$E$149,MATCH($A36,Checklist!$P$3:$P$149,0)))-1),INDEX(Checklist!$E$3:$E$149,MATCH($A36,Checklist!$P$3:$P$149,0))),""))</f>
        <v/>
      </c>
      <c r="E36" s="28" t="str">
        <f>IF($A36="","",INDEX(Checklist!$D$3:$D$149,MATCH($A36,Checklist!$P$3:$P$149,0)))</f>
        <v/>
      </c>
      <c r="F36" s="28" t="str">
        <f>IF($A36="","",INDEX(Checklist!$F$3:$F$149,MATCH($A36,Checklist!$P$3:$P$149,0)))</f>
        <v/>
      </c>
      <c r="G36" s="28" t="str">
        <f>IF($A36="","",IF($D36&lt;&gt;"",INDEX(Checklist!$E$3:$E$149,MATCH(LEFT($B36,3),Checklist!$C$3:$C$149,0))&amp;" - "&amp;$D36,INDEX(Checklist!$E$3:$E$149,MATCH($A36,Checklist!$P$3:$P$149,0))))</f>
        <v/>
      </c>
      <c r="H36" s="28" t="str">
        <f>IF($A36="","",INDEX(Checklist!$G$3:$G$149,MATCH($A36,Checklist!$P$3:$P$149,0)))</f>
        <v/>
      </c>
      <c r="I36" s="30" t="str">
        <f>IF($A36="","",INDEX(Checklist!$N$3:$N$149,MATCH($A36,Checklist!$P$3:$P$149,0)))</f>
        <v/>
      </c>
      <c r="J36" s="27"/>
      <c r="K36" s="27"/>
      <c r="L36" s="29"/>
    </row>
    <row r="37" spans="1:12" ht="42" customHeight="1">
      <c r="A37" s="28" t="str">
        <f>IF(ROW()-4&lt;=COUNT(Checklist!$P$3:$P$149),ROW()-4,"")</f>
        <v/>
      </c>
      <c r="B37" s="28" t="str">
        <f>IF($A37="","",INDEX(Checklist!$C$3:$C$149,MATCH($A37,Checklist!$P$3:$P$149,0)))</f>
        <v/>
      </c>
      <c r="C37" s="28" t="str">
        <f>IF($A37="","",INDEX(Checklist!$B$3:$B$149,MATCH($A37,Checklist!$P$3:$P$149,0)))</f>
        <v/>
      </c>
      <c r="D37" s="28" t="str">
        <f>IF($A37="","",IF(INDEX(Checklist!$A$3:$A$149,MATCH($A37,Checklist!$P$3:$P$149,0))=7,IFERROR(LEFT(INDEX(Checklist!$E$3:$E$149,MATCH($A37,Checklist!$P$3:$P$149,0)),FIND(CHAR(10),INDEX(Checklist!$E$3:$E$149,MATCH($A37,Checklist!$P$3:$P$149,0)))-1),INDEX(Checklist!$E$3:$E$149,MATCH($A37,Checklist!$P$3:$P$149,0))),""))</f>
        <v/>
      </c>
      <c r="E37" s="28" t="str">
        <f>IF($A37="","",INDEX(Checklist!$D$3:$D$149,MATCH($A37,Checklist!$P$3:$P$149,0)))</f>
        <v/>
      </c>
      <c r="F37" s="28" t="str">
        <f>IF($A37="","",INDEX(Checklist!$F$3:$F$149,MATCH($A37,Checklist!$P$3:$P$149,0)))</f>
        <v/>
      </c>
      <c r="G37" s="28" t="str">
        <f>IF($A37="","",IF($D37&lt;&gt;"",INDEX(Checklist!$E$3:$E$149,MATCH(LEFT($B37,3),Checklist!$C$3:$C$149,0))&amp;" - "&amp;$D37,INDEX(Checklist!$E$3:$E$149,MATCH($A37,Checklist!$P$3:$P$149,0))))</f>
        <v/>
      </c>
      <c r="H37" s="28" t="str">
        <f>IF($A37="","",INDEX(Checklist!$G$3:$G$149,MATCH($A37,Checklist!$P$3:$P$149,0)))</f>
        <v/>
      </c>
      <c r="I37" s="30" t="str">
        <f>IF($A37="","",INDEX(Checklist!$N$3:$N$149,MATCH($A37,Checklist!$P$3:$P$149,0)))</f>
        <v/>
      </c>
      <c r="J37" s="27"/>
      <c r="K37" s="27"/>
      <c r="L37" s="29"/>
    </row>
    <row r="38" spans="1:12" ht="42" customHeight="1">
      <c r="A38" s="28" t="str">
        <f>IF(ROW()-4&lt;=COUNT(Checklist!$P$3:$P$149),ROW()-4,"")</f>
        <v/>
      </c>
      <c r="B38" s="28" t="str">
        <f>IF($A38="","",INDEX(Checklist!$C$3:$C$149,MATCH($A38,Checklist!$P$3:$P$149,0)))</f>
        <v/>
      </c>
      <c r="C38" s="28" t="str">
        <f>IF($A38="","",INDEX(Checklist!$B$3:$B$149,MATCH($A38,Checklist!$P$3:$P$149,0)))</f>
        <v/>
      </c>
      <c r="D38" s="28" t="str">
        <f>IF($A38="","",IF(INDEX(Checklist!$A$3:$A$149,MATCH($A38,Checklist!$P$3:$P$149,0))=7,IFERROR(LEFT(INDEX(Checklist!$E$3:$E$149,MATCH($A38,Checklist!$P$3:$P$149,0)),FIND(CHAR(10),INDEX(Checklist!$E$3:$E$149,MATCH($A38,Checklist!$P$3:$P$149,0)))-1),INDEX(Checklist!$E$3:$E$149,MATCH($A38,Checklist!$P$3:$P$149,0))),""))</f>
        <v/>
      </c>
      <c r="E38" s="28" t="str">
        <f>IF($A38="","",INDEX(Checklist!$D$3:$D$149,MATCH($A38,Checklist!$P$3:$P$149,0)))</f>
        <v/>
      </c>
      <c r="F38" s="28" t="str">
        <f>IF($A38="","",INDEX(Checklist!$F$3:$F$149,MATCH($A38,Checklist!$P$3:$P$149,0)))</f>
        <v/>
      </c>
      <c r="G38" s="28" t="str">
        <f>IF($A38="","",IF($D38&lt;&gt;"",INDEX(Checklist!$E$3:$E$149,MATCH(LEFT($B38,3),Checklist!$C$3:$C$149,0))&amp;" - "&amp;$D38,INDEX(Checklist!$E$3:$E$149,MATCH($A38,Checklist!$P$3:$P$149,0))))</f>
        <v/>
      </c>
      <c r="H38" s="28" t="str">
        <f>IF($A38="","",INDEX(Checklist!$G$3:$G$149,MATCH($A38,Checklist!$P$3:$P$149,0)))</f>
        <v/>
      </c>
      <c r="I38" s="30" t="str">
        <f>IF($A38="","",INDEX(Checklist!$N$3:$N$149,MATCH($A38,Checklist!$P$3:$P$149,0)))</f>
        <v/>
      </c>
      <c r="J38" s="27"/>
      <c r="K38" s="27"/>
      <c r="L38" s="29"/>
    </row>
    <row r="39" spans="1:12" ht="42" customHeight="1">
      <c r="A39" s="28" t="str">
        <f>IF(ROW()-4&lt;=COUNT(Checklist!$P$3:$P$149),ROW()-4,"")</f>
        <v/>
      </c>
      <c r="B39" s="28" t="str">
        <f>IF($A39="","",INDEX(Checklist!$C$3:$C$149,MATCH($A39,Checklist!$P$3:$P$149,0)))</f>
        <v/>
      </c>
      <c r="C39" s="28" t="str">
        <f>IF($A39="","",INDEX(Checklist!$B$3:$B$149,MATCH($A39,Checklist!$P$3:$P$149,0)))</f>
        <v/>
      </c>
      <c r="D39" s="28" t="str">
        <f>IF($A39="","",IF(INDEX(Checklist!$A$3:$A$149,MATCH($A39,Checklist!$P$3:$P$149,0))=7,IFERROR(LEFT(INDEX(Checklist!$E$3:$E$149,MATCH($A39,Checklist!$P$3:$P$149,0)),FIND(CHAR(10),INDEX(Checklist!$E$3:$E$149,MATCH($A39,Checklist!$P$3:$P$149,0)))-1),INDEX(Checklist!$E$3:$E$149,MATCH($A39,Checklist!$P$3:$P$149,0))),""))</f>
        <v/>
      </c>
      <c r="E39" s="28" t="str">
        <f>IF($A39="","",INDEX(Checklist!$D$3:$D$149,MATCH($A39,Checklist!$P$3:$P$149,0)))</f>
        <v/>
      </c>
      <c r="F39" s="28" t="str">
        <f>IF($A39="","",INDEX(Checklist!$F$3:$F$149,MATCH($A39,Checklist!$P$3:$P$149,0)))</f>
        <v/>
      </c>
      <c r="G39" s="28" t="str">
        <f>IF($A39="","",IF($D39&lt;&gt;"",INDEX(Checklist!$E$3:$E$149,MATCH(LEFT($B39,3),Checklist!$C$3:$C$149,0))&amp;" - "&amp;$D39,INDEX(Checklist!$E$3:$E$149,MATCH($A39,Checklist!$P$3:$P$149,0))))</f>
        <v/>
      </c>
      <c r="H39" s="28" t="str">
        <f>IF($A39="","",INDEX(Checklist!$G$3:$G$149,MATCH($A39,Checklist!$P$3:$P$149,0)))</f>
        <v/>
      </c>
      <c r="I39" s="30" t="str">
        <f>IF($A39="","",INDEX(Checklist!$N$3:$N$149,MATCH($A39,Checklist!$P$3:$P$149,0)))</f>
        <v/>
      </c>
      <c r="J39" s="27"/>
      <c r="K39" s="27"/>
      <c r="L39" s="29"/>
    </row>
    <row r="40" spans="1:12" ht="42" customHeight="1">
      <c r="A40" s="28" t="str">
        <f>IF(ROW()-4&lt;=COUNT(Checklist!$P$3:$P$149),ROW()-4,"")</f>
        <v/>
      </c>
      <c r="B40" s="28" t="str">
        <f>IF($A40="","",INDEX(Checklist!$C$3:$C$149,MATCH($A40,Checklist!$P$3:$P$149,0)))</f>
        <v/>
      </c>
      <c r="C40" s="28" t="str">
        <f>IF($A40="","",INDEX(Checklist!$B$3:$B$149,MATCH($A40,Checklist!$P$3:$P$149,0)))</f>
        <v/>
      </c>
      <c r="D40" s="28" t="str">
        <f>IF($A40="","",IF(INDEX(Checklist!$A$3:$A$149,MATCH($A40,Checklist!$P$3:$P$149,0))=7,IFERROR(LEFT(INDEX(Checklist!$E$3:$E$149,MATCH($A40,Checklist!$P$3:$P$149,0)),FIND(CHAR(10),INDEX(Checklist!$E$3:$E$149,MATCH($A40,Checklist!$P$3:$P$149,0)))-1),INDEX(Checklist!$E$3:$E$149,MATCH($A40,Checklist!$P$3:$P$149,0))),""))</f>
        <v/>
      </c>
      <c r="E40" s="28" t="str">
        <f>IF($A40="","",INDEX(Checklist!$D$3:$D$149,MATCH($A40,Checklist!$P$3:$P$149,0)))</f>
        <v/>
      </c>
      <c r="F40" s="28" t="str">
        <f>IF($A40="","",INDEX(Checklist!$F$3:$F$149,MATCH($A40,Checklist!$P$3:$P$149,0)))</f>
        <v/>
      </c>
      <c r="G40" s="28" t="str">
        <f>IF($A40="","",IF($D40&lt;&gt;"",INDEX(Checklist!$E$3:$E$149,MATCH(LEFT($B40,3),Checklist!$C$3:$C$149,0))&amp;" - "&amp;$D40,INDEX(Checklist!$E$3:$E$149,MATCH($A40,Checklist!$P$3:$P$149,0))))</f>
        <v/>
      </c>
      <c r="H40" s="28" t="str">
        <f>IF($A40="","",INDEX(Checklist!$G$3:$G$149,MATCH($A40,Checklist!$P$3:$P$149,0)))</f>
        <v/>
      </c>
      <c r="I40" s="30" t="str">
        <f>IF($A40="","",INDEX(Checklist!$N$3:$N$149,MATCH($A40,Checklist!$P$3:$P$149,0)))</f>
        <v/>
      </c>
      <c r="J40" s="27"/>
      <c r="K40" s="27"/>
      <c r="L40" s="29"/>
    </row>
    <row r="41" spans="1:12" ht="42" customHeight="1">
      <c r="A41" s="28" t="str">
        <f>IF(ROW()-4&lt;=COUNT(Checklist!$P$3:$P$149),ROW()-4,"")</f>
        <v/>
      </c>
      <c r="B41" s="28" t="str">
        <f>IF($A41="","",INDEX(Checklist!$C$3:$C$149,MATCH($A41,Checklist!$P$3:$P$149,0)))</f>
        <v/>
      </c>
      <c r="C41" s="28" t="str">
        <f>IF($A41="","",INDEX(Checklist!$B$3:$B$149,MATCH($A41,Checklist!$P$3:$P$149,0)))</f>
        <v/>
      </c>
      <c r="D41" s="28" t="str">
        <f>IF($A41="","",IF(INDEX(Checklist!$A$3:$A$149,MATCH($A41,Checklist!$P$3:$P$149,0))=7,IFERROR(LEFT(INDEX(Checklist!$E$3:$E$149,MATCH($A41,Checklist!$P$3:$P$149,0)),FIND(CHAR(10),INDEX(Checklist!$E$3:$E$149,MATCH($A41,Checklist!$P$3:$P$149,0)))-1),INDEX(Checklist!$E$3:$E$149,MATCH($A41,Checklist!$P$3:$P$149,0))),""))</f>
        <v/>
      </c>
      <c r="E41" s="28" t="str">
        <f>IF($A41="","",INDEX(Checklist!$D$3:$D$149,MATCH($A41,Checklist!$P$3:$P$149,0)))</f>
        <v/>
      </c>
      <c r="F41" s="28" t="str">
        <f>IF($A41="","",INDEX(Checklist!$F$3:$F$149,MATCH($A41,Checklist!$P$3:$P$149,0)))</f>
        <v/>
      </c>
      <c r="G41" s="28" t="str">
        <f>IF($A41="","",IF($D41&lt;&gt;"",INDEX(Checklist!$E$3:$E$149,MATCH(LEFT($B41,3),Checklist!$C$3:$C$149,0))&amp;" - "&amp;$D41,INDEX(Checklist!$E$3:$E$149,MATCH($A41,Checklist!$P$3:$P$149,0))))</f>
        <v/>
      </c>
      <c r="H41" s="28" t="str">
        <f>IF($A41="","",INDEX(Checklist!$G$3:$G$149,MATCH($A41,Checklist!$P$3:$P$149,0)))</f>
        <v/>
      </c>
      <c r="I41" s="30" t="str">
        <f>IF($A41="","",INDEX(Checklist!$N$3:$N$149,MATCH($A41,Checklist!$P$3:$P$149,0)))</f>
        <v/>
      </c>
      <c r="J41" s="27"/>
      <c r="K41" s="27"/>
      <c r="L41" s="29"/>
    </row>
    <row r="42" spans="1:12" ht="42" customHeight="1">
      <c r="A42" s="28" t="str">
        <f>IF(ROW()-4&lt;=COUNT(Checklist!$P$3:$P$149),ROW()-4,"")</f>
        <v/>
      </c>
      <c r="B42" s="28" t="str">
        <f>IF($A42="","",INDEX(Checklist!$C$3:$C$149,MATCH($A42,Checklist!$P$3:$P$149,0)))</f>
        <v/>
      </c>
      <c r="C42" s="28" t="str">
        <f>IF($A42="","",INDEX(Checklist!$B$3:$B$149,MATCH($A42,Checklist!$P$3:$P$149,0)))</f>
        <v/>
      </c>
      <c r="D42" s="28" t="str">
        <f>IF($A42="","",IF(INDEX(Checklist!$A$3:$A$149,MATCH($A42,Checklist!$P$3:$P$149,0))=7,IFERROR(LEFT(INDEX(Checklist!$E$3:$E$149,MATCH($A42,Checklist!$P$3:$P$149,0)),FIND(CHAR(10),INDEX(Checklist!$E$3:$E$149,MATCH($A42,Checklist!$P$3:$P$149,0)))-1),INDEX(Checklist!$E$3:$E$149,MATCH($A42,Checklist!$P$3:$P$149,0))),""))</f>
        <v/>
      </c>
      <c r="E42" s="28" t="str">
        <f>IF($A42="","",INDEX(Checklist!$D$3:$D$149,MATCH($A42,Checklist!$P$3:$P$149,0)))</f>
        <v/>
      </c>
      <c r="F42" s="28" t="str">
        <f>IF($A42="","",INDEX(Checklist!$F$3:$F$149,MATCH($A42,Checklist!$P$3:$P$149,0)))</f>
        <v/>
      </c>
      <c r="G42" s="28" t="str">
        <f>IF($A42="","",IF($D42&lt;&gt;"",INDEX(Checklist!$E$3:$E$149,MATCH(LEFT($B42,3),Checklist!$C$3:$C$149,0))&amp;" - "&amp;$D42,INDEX(Checklist!$E$3:$E$149,MATCH($A42,Checklist!$P$3:$P$149,0))))</f>
        <v/>
      </c>
      <c r="H42" s="28" t="str">
        <f>IF($A42="","",INDEX(Checklist!$G$3:$G$149,MATCH($A42,Checklist!$P$3:$P$149,0)))</f>
        <v/>
      </c>
      <c r="I42" s="30" t="str">
        <f>IF($A42="","",INDEX(Checklist!$N$3:$N$149,MATCH($A42,Checklist!$P$3:$P$149,0)))</f>
        <v/>
      </c>
      <c r="J42" s="27"/>
      <c r="K42" s="27"/>
      <c r="L42" s="29"/>
    </row>
    <row r="43" spans="1:12" ht="42" customHeight="1">
      <c r="A43" s="28" t="str">
        <f>IF(ROW()-4&lt;=COUNT(Checklist!$P$3:$P$149),ROW()-4,"")</f>
        <v/>
      </c>
      <c r="B43" s="28" t="str">
        <f>IF($A43="","",INDEX(Checklist!$C$3:$C$149,MATCH($A43,Checklist!$P$3:$P$149,0)))</f>
        <v/>
      </c>
      <c r="C43" s="28" t="str">
        <f>IF($A43="","",INDEX(Checklist!$B$3:$B$149,MATCH($A43,Checklist!$P$3:$P$149,0)))</f>
        <v/>
      </c>
      <c r="D43" s="28" t="str">
        <f>IF($A43="","",IF(INDEX(Checklist!$A$3:$A$149,MATCH($A43,Checklist!$P$3:$P$149,0))=7,IFERROR(LEFT(INDEX(Checklist!$E$3:$E$149,MATCH($A43,Checklist!$P$3:$P$149,0)),FIND(CHAR(10),INDEX(Checklist!$E$3:$E$149,MATCH($A43,Checklist!$P$3:$P$149,0)))-1),INDEX(Checklist!$E$3:$E$149,MATCH($A43,Checklist!$P$3:$P$149,0))),""))</f>
        <v/>
      </c>
      <c r="E43" s="28" t="str">
        <f>IF($A43="","",INDEX(Checklist!$D$3:$D$149,MATCH($A43,Checklist!$P$3:$P$149,0)))</f>
        <v/>
      </c>
      <c r="F43" s="28" t="str">
        <f>IF($A43="","",INDEX(Checklist!$F$3:$F$149,MATCH($A43,Checklist!$P$3:$P$149,0)))</f>
        <v/>
      </c>
      <c r="G43" s="28" t="str">
        <f>IF($A43="","",IF($D43&lt;&gt;"",INDEX(Checklist!$E$3:$E$149,MATCH(LEFT($B43,3),Checklist!$C$3:$C$149,0))&amp;" - "&amp;$D43,INDEX(Checklist!$E$3:$E$149,MATCH($A43,Checklist!$P$3:$P$149,0))))</f>
        <v/>
      </c>
      <c r="H43" s="28" t="str">
        <f>IF($A43="","",INDEX(Checklist!$G$3:$G$149,MATCH($A43,Checklist!$P$3:$P$149,0)))</f>
        <v/>
      </c>
      <c r="I43" s="30" t="str">
        <f>IF($A43="","",INDEX(Checklist!$N$3:$N$149,MATCH($A43,Checklist!$P$3:$P$149,0)))</f>
        <v/>
      </c>
      <c r="J43" s="27"/>
      <c r="K43" s="27"/>
      <c r="L43" s="29"/>
    </row>
    <row r="44" spans="1:12" ht="42" customHeight="1">
      <c r="A44" s="28" t="str">
        <f>IF(ROW()-4&lt;=COUNT(Checklist!$P$3:$P$149),ROW()-4,"")</f>
        <v/>
      </c>
      <c r="B44" s="28" t="str">
        <f>IF($A44="","",INDEX(Checklist!$C$3:$C$149,MATCH($A44,Checklist!$P$3:$P$149,0)))</f>
        <v/>
      </c>
      <c r="C44" s="28" t="str">
        <f>IF($A44="","",INDEX(Checklist!$B$3:$B$149,MATCH($A44,Checklist!$P$3:$P$149,0)))</f>
        <v/>
      </c>
      <c r="D44" s="28" t="str">
        <f>IF($A44="","",IF(INDEX(Checklist!$A$3:$A$149,MATCH($A44,Checklist!$P$3:$P$149,0))=7,IFERROR(LEFT(INDEX(Checklist!$E$3:$E$149,MATCH($A44,Checklist!$P$3:$P$149,0)),FIND(CHAR(10),INDEX(Checklist!$E$3:$E$149,MATCH($A44,Checklist!$P$3:$P$149,0)))-1),INDEX(Checklist!$E$3:$E$149,MATCH($A44,Checklist!$P$3:$P$149,0))),""))</f>
        <v/>
      </c>
      <c r="E44" s="28" t="str">
        <f>IF($A44="","",INDEX(Checklist!$D$3:$D$149,MATCH($A44,Checklist!$P$3:$P$149,0)))</f>
        <v/>
      </c>
      <c r="F44" s="28" t="str">
        <f>IF($A44="","",INDEX(Checklist!$F$3:$F$149,MATCH($A44,Checklist!$P$3:$P$149,0)))</f>
        <v/>
      </c>
      <c r="G44" s="28" t="str">
        <f>IF($A44="","",IF($D44&lt;&gt;"",INDEX(Checklist!$E$3:$E$149,MATCH(LEFT($B44,3),Checklist!$C$3:$C$149,0))&amp;" - "&amp;$D44,INDEX(Checklist!$E$3:$E$149,MATCH($A44,Checklist!$P$3:$P$149,0))))</f>
        <v/>
      </c>
      <c r="H44" s="28" t="str">
        <f>IF($A44="","",INDEX(Checklist!$G$3:$G$149,MATCH($A44,Checklist!$P$3:$P$149,0)))</f>
        <v/>
      </c>
      <c r="I44" s="30" t="str">
        <f>IF($A44="","",INDEX(Checklist!$N$3:$N$149,MATCH($A44,Checklist!$P$3:$P$149,0)))</f>
        <v/>
      </c>
      <c r="J44" s="27"/>
      <c r="K44" s="27"/>
      <c r="L44" s="29"/>
    </row>
    <row r="45" spans="1:12" ht="42" customHeight="1">
      <c r="A45" s="28" t="str">
        <f>IF(ROW()-4&lt;=COUNT(Checklist!$P$3:$P$149),ROW()-4,"")</f>
        <v/>
      </c>
      <c r="B45" s="28" t="str">
        <f>IF($A45="","",INDEX(Checklist!$C$3:$C$149,MATCH($A45,Checklist!$P$3:$P$149,0)))</f>
        <v/>
      </c>
      <c r="C45" s="28" t="str">
        <f>IF($A45="","",INDEX(Checklist!$B$3:$B$149,MATCH($A45,Checklist!$P$3:$P$149,0)))</f>
        <v/>
      </c>
      <c r="D45" s="28" t="str">
        <f>IF($A45="","",IF(INDEX(Checklist!$A$3:$A$149,MATCH($A45,Checklist!$P$3:$P$149,0))=7,IFERROR(LEFT(INDEX(Checklist!$E$3:$E$149,MATCH($A45,Checklist!$P$3:$P$149,0)),FIND(CHAR(10),INDEX(Checklist!$E$3:$E$149,MATCH($A45,Checklist!$P$3:$P$149,0)))-1),INDEX(Checklist!$E$3:$E$149,MATCH($A45,Checklist!$P$3:$P$149,0))),""))</f>
        <v/>
      </c>
      <c r="E45" s="28" t="str">
        <f>IF($A45="","",INDEX(Checklist!$D$3:$D$149,MATCH($A45,Checklist!$P$3:$P$149,0)))</f>
        <v/>
      </c>
      <c r="F45" s="28" t="str">
        <f>IF($A45="","",INDEX(Checklist!$F$3:$F$149,MATCH($A45,Checklist!$P$3:$P$149,0)))</f>
        <v/>
      </c>
      <c r="G45" s="28" t="str">
        <f>IF($A45="","",IF($D45&lt;&gt;"",INDEX(Checklist!$E$3:$E$149,MATCH(LEFT($B45,3),Checklist!$C$3:$C$149,0))&amp;" - "&amp;$D45,INDEX(Checklist!$E$3:$E$149,MATCH($A45,Checklist!$P$3:$P$149,0))))</f>
        <v/>
      </c>
      <c r="H45" s="28" t="str">
        <f>IF($A45="","",INDEX(Checklist!$G$3:$G$149,MATCH($A45,Checklist!$P$3:$P$149,0)))</f>
        <v/>
      </c>
      <c r="I45" s="30" t="str">
        <f>IF($A45="","",INDEX(Checklist!$N$3:$N$149,MATCH($A45,Checklist!$P$3:$P$149,0)))</f>
        <v/>
      </c>
      <c r="J45" s="27"/>
      <c r="K45" s="27"/>
      <c r="L45" s="29"/>
    </row>
    <row r="46" spans="1:12" ht="42" customHeight="1">
      <c r="A46" s="28" t="str">
        <f>IF(ROW()-4&lt;=COUNT(Checklist!$P$3:$P$149),ROW()-4,"")</f>
        <v/>
      </c>
      <c r="B46" s="28" t="str">
        <f>IF($A46="","",INDEX(Checklist!$C$3:$C$149,MATCH($A46,Checklist!$P$3:$P$149,0)))</f>
        <v/>
      </c>
      <c r="C46" s="28" t="str">
        <f>IF($A46="","",INDEX(Checklist!$B$3:$B$149,MATCH($A46,Checklist!$P$3:$P$149,0)))</f>
        <v/>
      </c>
      <c r="D46" s="28" t="str">
        <f>IF($A46="","",IF(INDEX(Checklist!$A$3:$A$149,MATCH($A46,Checklist!$P$3:$P$149,0))=7,IFERROR(LEFT(INDEX(Checklist!$E$3:$E$149,MATCH($A46,Checklist!$P$3:$P$149,0)),FIND(CHAR(10),INDEX(Checklist!$E$3:$E$149,MATCH($A46,Checklist!$P$3:$P$149,0)))-1),INDEX(Checklist!$E$3:$E$149,MATCH($A46,Checklist!$P$3:$P$149,0))),""))</f>
        <v/>
      </c>
      <c r="E46" s="28" t="str">
        <f>IF($A46="","",INDEX(Checklist!$D$3:$D$149,MATCH($A46,Checklist!$P$3:$P$149,0)))</f>
        <v/>
      </c>
      <c r="F46" s="28" t="str">
        <f>IF($A46="","",INDEX(Checklist!$F$3:$F$149,MATCH($A46,Checklist!$P$3:$P$149,0)))</f>
        <v/>
      </c>
      <c r="G46" s="28" t="str">
        <f>IF($A46="","",IF($D46&lt;&gt;"",INDEX(Checklist!$E$3:$E$149,MATCH(LEFT($B46,3),Checklist!$C$3:$C$149,0))&amp;" - "&amp;$D46,INDEX(Checklist!$E$3:$E$149,MATCH($A46,Checklist!$P$3:$P$149,0))))</f>
        <v/>
      </c>
      <c r="H46" s="28" t="str">
        <f>IF($A46="","",INDEX(Checklist!$G$3:$G$149,MATCH($A46,Checklist!$P$3:$P$149,0)))</f>
        <v/>
      </c>
      <c r="I46" s="30" t="str">
        <f>IF($A46="","",INDEX(Checklist!$N$3:$N$149,MATCH($A46,Checklist!$P$3:$P$149,0)))</f>
        <v/>
      </c>
      <c r="J46" s="27"/>
      <c r="K46" s="27"/>
      <c r="L46" s="29"/>
    </row>
    <row r="47" spans="1:12" ht="42" customHeight="1">
      <c r="A47" s="28" t="str">
        <f>IF(ROW()-4&lt;=COUNT(Checklist!$P$3:$P$149),ROW()-4,"")</f>
        <v/>
      </c>
      <c r="B47" s="28" t="str">
        <f>IF($A47="","",INDEX(Checklist!$C$3:$C$149,MATCH($A47,Checklist!$P$3:$P$149,0)))</f>
        <v/>
      </c>
      <c r="C47" s="28" t="str">
        <f>IF($A47="","",INDEX(Checklist!$B$3:$B$149,MATCH($A47,Checklist!$P$3:$P$149,0)))</f>
        <v/>
      </c>
      <c r="D47" s="28" t="str">
        <f>IF($A47="","",IF(INDEX(Checklist!$A$3:$A$149,MATCH($A47,Checklist!$P$3:$P$149,0))=7,IFERROR(LEFT(INDEX(Checklist!$E$3:$E$149,MATCH($A47,Checklist!$P$3:$P$149,0)),FIND(CHAR(10),INDEX(Checklist!$E$3:$E$149,MATCH($A47,Checklist!$P$3:$P$149,0)))-1),INDEX(Checklist!$E$3:$E$149,MATCH($A47,Checklist!$P$3:$P$149,0))),""))</f>
        <v/>
      </c>
      <c r="E47" s="28" t="str">
        <f>IF($A47="","",INDEX(Checklist!$D$3:$D$149,MATCH($A47,Checklist!$P$3:$P$149,0)))</f>
        <v/>
      </c>
      <c r="F47" s="28" t="str">
        <f>IF($A47="","",INDEX(Checklist!$F$3:$F$149,MATCH($A47,Checklist!$P$3:$P$149,0)))</f>
        <v/>
      </c>
      <c r="G47" s="28" t="str">
        <f>IF($A47="","",IF($D47&lt;&gt;"",INDEX(Checklist!$E$3:$E$149,MATCH(LEFT($B47,3),Checklist!$C$3:$C$149,0))&amp;" - "&amp;$D47,INDEX(Checklist!$E$3:$E$149,MATCH($A47,Checklist!$P$3:$P$149,0))))</f>
        <v/>
      </c>
      <c r="H47" s="28" t="str">
        <f>IF($A47="","",INDEX(Checklist!$G$3:$G$149,MATCH($A47,Checklist!$P$3:$P$149,0)))</f>
        <v/>
      </c>
      <c r="I47" s="30" t="str">
        <f>IF($A47="","",INDEX(Checklist!$N$3:$N$149,MATCH($A47,Checklist!$P$3:$P$149,0)))</f>
        <v/>
      </c>
      <c r="J47" s="27"/>
      <c r="K47" s="27"/>
      <c r="L47" s="29"/>
    </row>
    <row r="48" spans="1:12" ht="42" customHeight="1">
      <c r="A48" s="28" t="str">
        <f>IF(ROW()-4&lt;=COUNT(Checklist!$P$3:$P$149),ROW()-4,"")</f>
        <v/>
      </c>
      <c r="B48" s="28" t="str">
        <f>IF($A48="","",INDEX(Checklist!$C$3:$C$149,MATCH($A48,Checklist!$P$3:$P$149,0)))</f>
        <v/>
      </c>
      <c r="C48" s="28" t="str">
        <f>IF($A48="","",INDEX(Checklist!$B$3:$B$149,MATCH($A48,Checklist!$P$3:$P$149,0)))</f>
        <v/>
      </c>
      <c r="D48" s="28" t="str">
        <f>IF($A48="","",IF(INDEX(Checklist!$A$3:$A$149,MATCH($A48,Checklist!$P$3:$P$149,0))=7,IFERROR(LEFT(INDEX(Checklist!$E$3:$E$149,MATCH($A48,Checklist!$P$3:$P$149,0)),FIND(CHAR(10),INDEX(Checklist!$E$3:$E$149,MATCH($A48,Checklist!$P$3:$P$149,0)))-1),INDEX(Checklist!$E$3:$E$149,MATCH($A48,Checklist!$P$3:$P$149,0))),""))</f>
        <v/>
      </c>
      <c r="E48" s="28" t="str">
        <f>IF($A48="","",INDEX(Checklist!$D$3:$D$149,MATCH($A48,Checklist!$P$3:$P$149,0)))</f>
        <v/>
      </c>
      <c r="F48" s="28" t="str">
        <f>IF($A48="","",INDEX(Checklist!$F$3:$F$149,MATCH($A48,Checklist!$P$3:$P$149,0)))</f>
        <v/>
      </c>
      <c r="G48" s="28" t="str">
        <f>IF($A48="","",IF($D48&lt;&gt;"",INDEX(Checklist!$E$3:$E$149,MATCH(LEFT($B48,3),Checklist!$C$3:$C$149,0))&amp;" - "&amp;$D48,INDEX(Checklist!$E$3:$E$149,MATCH($A48,Checklist!$P$3:$P$149,0))))</f>
        <v/>
      </c>
      <c r="H48" s="28" t="str">
        <f>IF($A48="","",INDEX(Checklist!$G$3:$G$149,MATCH($A48,Checklist!$P$3:$P$149,0)))</f>
        <v/>
      </c>
      <c r="I48" s="30" t="str">
        <f>IF($A48="","",INDEX(Checklist!$N$3:$N$149,MATCH($A48,Checklist!$P$3:$P$149,0)))</f>
        <v/>
      </c>
      <c r="J48" s="27"/>
      <c r="K48" s="27"/>
      <c r="L48" s="29"/>
    </row>
    <row r="49" spans="1:12" ht="42" customHeight="1">
      <c r="A49" s="28" t="str">
        <f>IF(ROW()-4&lt;=COUNT(Checklist!$P$3:$P$149),ROW()-4,"")</f>
        <v/>
      </c>
      <c r="B49" s="28" t="str">
        <f>IF($A49="","",INDEX(Checklist!$C$3:$C$149,MATCH($A49,Checklist!$P$3:$P$149,0)))</f>
        <v/>
      </c>
      <c r="C49" s="28" t="str">
        <f>IF($A49="","",INDEX(Checklist!$B$3:$B$149,MATCH($A49,Checklist!$P$3:$P$149,0)))</f>
        <v/>
      </c>
      <c r="D49" s="28" t="str">
        <f>IF($A49="","",IF(INDEX(Checklist!$A$3:$A$149,MATCH($A49,Checklist!$P$3:$P$149,0))=7,IFERROR(LEFT(INDEX(Checklist!$E$3:$E$149,MATCH($A49,Checklist!$P$3:$P$149,0)),FIND(CHAR(10),INDEX(Checklist!$E$3:$E$149,MATCH($A49,Checklist!$P$3:$P$149,0)))-1),INDEX(Checklist!$E$3:$E$149,MATCH($A49,Checklist!$P$3:$P$149,0))),""))</f>
        <v/>
      </c>
      <c r="E49" s="28" t="str">
        <f>IF($A49="","",INDEX(Checklist!$D$3:$D$149,MATCH($A49,Checklist!$P$3:$P$149,0)))</f>
        <v/>
      </c>
      <c r="F49" s="28" t="str">
        <f>IF($A49="","",INDEX(Checklist!$F$3:$F$149,MATCH($A49,Checklist!$P$3:$P$149,0)))</f>
        <v/>
      </c>
      <c r="G49" s="28" t="str">
        <f>IF($A49="","",IF($D49&lt;&gt;"",INDEX(Checklist!$E$3:$E$149,MATCH(LEFT($B49,3),Checklist!$C$3:$C$149,0))&amp;" - "&amp;$D49,INDEX(Checklist!$E$3:$E$149,MATCH($A49,Checklist!$P$3:$P$149,0))))</f>
        <v/>
      </c>
      <c r="H49" s="28" t="str">
        <f>IF($A49="","",INDEX(Checklist!$G$3:$G$149,MATCH($A49,Checklist!$P$3:$P$149,0)))</f>
        <v/>
      </c>
      <c r="I49" s="30" t="str">
        <f>IF($A49="","",INDEX(Checklist!$N$3:$N$149,MATCH($A49,Checklist!$P$3:$P$149,0)))</f>
        <v/>
      </c>
      <c r="J49" s="27"/>
      <c r="K49" s="27"/>
      <c r="L49" s="29"/>
    </row>
    <row r="50" spans="1:12" ht="42" customHeight="1">
      <c r="A50" s="28" t="str">
        <f>IF(ROW()-4&lt;=COUNT(Checklist!$P$3:$P$149),ROW()-4,"")</f>
        <v/>
      </c>
      <c r="B50" s="28" t="str">
        <f>IF($A50="","",INDEX(Checklist!$C$3:$C$149,MATCH($A50,Checklist!$P$3:$P$149,0)))</f>
        <v/>
      </c>
      <c r="C50" s="28" t="str">
        <f>IF($A50="","",INDEX(Checklist!$B$3:$B$149,MATCH($A50,Checklist!$P$3:$P$149,0)))</f>
        <v/>
      </c>
      <c r="D50" s="28" t="str">
        <f>IF($A50="","",IF(INDEX(Checklist!$A$3:$A$149,MATCH($A50,Checklist!$P$3:$P$149,0))=7,IFERROR(LEFT(INDEX(Checklist!$E$3:$E$149,MATCH($A50,Checklist!$P$3:$P$149,0)),FIND(CHAR(10),INDEX(Checklist!$E$3:$E$149,MATCH($A50,Checklist!$P$3:$P$149,0)))-1),INDEX(Checklist!$E$3:$E$149,MATCH($A50,Checklist!$P$3:$P$149,0))),""))</f>
        <v/>
      </c>
      <c r="E50" s="28" t="str">
        <f>IF($A50="","",INDEX(Checklist!$D$3:$D$149,MATCH($A50,Checklist!$P$3:$P$149,0)))</f>
        <v/>
      </c>
      <c r="F50" s="28" t="str">
        <f>IF($A50="","",INDEX(Checklist!$F$3:$F$149,MATCH($A50,Checklist!$P$3:$P$149,0)))</f>
        <v/>
      </c>
      <c r="G50" s="28" t="str">
        <f>IF($A50="","",IF($D50&lt;&gt;"",INDEX(Checklist!$E$3:$E$149,MATCH(LEFT($B50,3),Checklist!$C$3:$C$149,0))&amp;" - "&amp;$D50,INDEX(Checklist!$E$3:$E$149,MATCH($A50,Checklist!$P$3:$P$149,0))))</f>
        <v/>
      </c>
      <c r="H50" s="28" t="str">
        <f>IF($A50="","",INDEX(Checklist!$G$3:$G$149,MATCH($A50,Checklist!$P$3:$P$149,0)))</f>
        <v/>
      </c>
      <c r="I50" s="30" t="str">
        <f>IF($A50="","",INDEX(Checklist!$N$3:$N$149,MATCH($A50,Checklist!$P$3:$P$149,0)))</f>
        <v/>
      </c>
      <c r="J50" s="27"/>
      <c r="K50" s="27"/>
      <c r="L50" s="29"/>
    </row>
    <row r="51" spans="1:12" ht="42" customHeight="1">
      <c r="A51" s="28" t="str">
        <f>IF(ROW()-4&lt;=COUNT(Checklist!$P$3:$P$149),ROW()-4,"")</f>
        <v/>
      </c>
      <c r="B51" s="28" t="str">
        <f>IF($A51="","",INDEX(Checklist!$C$3:$C$149,MATCH($A51,Checklist!$P$3:$P$149,0)))</f>
        <v/>
      </c>
      <c r="C51" s="28" t="str">
        <f>IF($A51="","",INDEX(Checklist!$B$3:$B$149,MATCH($A51,Checklist!$P$3:$P$149,0)))</f>
        <v/>
      </c>
      <c r="D51" s="28" t="str">
        <f>IF($A51="","",IF(INDEX(Checklist!$A$3:$A$149,MATCH($A51,Checklist!$P$3:$P$149,0))=7,IFERROR(LEFT(INDEX(Checklist!$E$3:$E$149,MATCH($A51,Checklist!$P$3:$P$149,0)),FIND(CHAR(10),INDEX(Checklist!$E$3:$E$149,MATCH($A51,Checklist!$P$3:$P$149,0)))-1),INDEX(Checklist!$E$3:$E$149,MATCH($A51,Checklist!$P$3:$P$149,0))),""))</f>
        <v/>
      </c>
      <c r="E51" s="28" t="str">
        <f>IF($A51="","",INDEX(Checklist!$D$3:$D$149,MATCH($A51,Checklist!$P$3:$P$149,0)))</f>
        <v/>
      </c>
      <c r="F51" s="28" t="str">
        <f>IF($A51="","",INDEX(Checklist!$F$3:$F$149,MATCH($A51,Checklist!$P$3:$P$149,0)))</f>
        <v/>
      </c>
      <c r="G51" s="28" t="str">
        <f>IF($A51="","",IF($D51&lt;&gt;"",INDEX(Checklist!$E$3:$E$149,MATCH(LEFT($B51,3),Checklist!$C$3:$C$149,0))&amp;" - "&amp;$D51,INDEX(Checklist!$E$3:$E$149,MATCH($A51,Checklist!$P$3:$P$149,0))))</f>
        <v/>
      </c>
      <c r="H51" s="28" t="str">
        <f>IF($A51="","",INDEX(Checklist!$G$3:$G$149,MATCH($A51,Checklist!$P$3:$P$149,0)))</f>
        <v/>
      </c>
      <c r="I51" s="30" t="str">
        <f>IF($A51="","",INDEX(Checklist!$N$3:$N$149,MATCH($A51,Checklist!$P$3:$P$149,0)))</f>
        <v/>
      </c>
      <c r="J51" s="27"/>
      <c r="K51" s="27"/>
      <c r="L51" s="29"/>
    </row>
    <row r="52" spans="1:12" ht="42" customHeight="1">
      <c r="A52" s="28" t="str">
        <f>IF(ROW()-4&lt;=COUNT(Checklist!$P$3:$P$149),ROW()-4,"")</f>
        <v/>
      </c>
      <c r="B52" s="28" t="str">
        <f>IF($A52="","",INDEX(Checklist!$C$3:$C$149,MATCH($A52,Checklist!$P$3:$P$149,0)))</f>
        <v/>
      </c>
      <c r="C52" s="28" t="str">
        <f>IF($A52="","",INDEX(Checklist!$B$3:$B$149,MATCH($A52,Checklist!$P$3:$P$149,0)))</f>
        <v/>
      </c>
      <c r="D52" s="28" t="str">
        <f>IF($A52="","",IF(INDEX(Checklist!$A$3:$A$149,MATCH($A52,Checklist!$P$3:$P$149,0))=7,IFERROR(LEFT(INDEX(Checklist!$E$3:$E$149,MATCH($A52,Checklist!$P$3:$P$149,0)),FIND(CHAR(10),INDEX(Checklist!$E$3:$E$149,MATCH($A52,Checklist!$P$3:$P$149,0)))-1),INDEX(Checklist!$E$3:$E$149,MATCH($A52,Checklist!$P$3:$P$149,0))),""))</f>
        <v/>
      </c>
      <c r="E52" s="28" t="str">
        <f>IF($A52="","",INDEX(Checklist!$D$3:$D$149,MATCH($A52,Checklist!$P$3:$P$149,0)))</f>
        <v/>
      </c>
      <c r="F52" s="28" t="str">
        <f>IF($A52="","",INDEX(Checklist!$F$3:$F$149,MATCH($A52,Checklist!$P$3:$P$149,0)))</f>
        <v/>
      </c>
      <c r="G52" s="28" t="str">
        <f>IF($A52="","",IF($D52&lt;&gt;"",INDEX(Checklist!$E$3:$E$149,MATCH(LEFT($B52,3),Checklist!$C$3:$C$149,0))&amp;" - "&amp;$D52,INDEX(Checklist!$E$3:$E$149,MATCH($A52,Checklist!$P$3:$P$149,0))))</f>
        <v/>
      </c>
      <c r="H52" s="28" t="str">
        <f>IF($A52="","",INDEX(Checklist!$G$3:$G$149,MATCH($A52,Checklist!$P$3:$P$149,0)))</f>
        <v/>
      </c>
      <c r="I52" s="30" t="str">
        <f>IF($A52="","",INDEX(Checklist!$N$3:$N$149,MATCH($A52,Checklist!$P$3:$P$149,0)))</f>
        <v/>
      </c>
      <c r="J52" s="27"/>
      <c r="K52" s="27"/>
      <c r="L52" s="29"/>
    </row>
    <row r="53" spans="1:12" ht="42" customHeight="1">
      <c r="A53" s="28" t="str">
        <f>IF(ROW()-4&lt;=COUNT(Checklist!$P$3:$P$149),ROW()-4,"")</f>
        <v/>
      </c>
      <c r="B53" s="28" t="str">
        <f>IF($A53="","",INDEX(Checklist!$C$3:$C$149,MATCH($A53,Checklist!$P$3:$P$149,0)))</f>
        <v/>
      </c>
      <c r="C53" s="28" t="str">
        <f>IF($A53="","",INDEX(Checklist!$B$3:$B$149,MATCH($A53,Checklist!$P$3:$P$149,0)))</f>
        <v/>
      </c>
      <c r="D53" s="28" t="str">
        <f>IF($A53="","",IF(INDEX(Checklist!$A$3:$A$149,MATCH($A53,Checklist!$P$3:$P$149,0))=7,IFERROR(LEFT(INDEX(Checklist!$E$3:$E$149,MATCH($A53,Checklist!$P$3:$P$149,0)),FIND(CHAR(10),INDEX(Checklist!$E$3:$E$149,MATCH($A53,Checklist!$P$3:$P$149,0)))-1),INDEX(Checklist!$E$3:$E$149,MATCH($A53,Checklist!$P$3:$P$149,0))),""))</f>
        <v/>
      </c>
      <c r="E53" s="28" t="str">
        <f>IF($A53="","",INDEX(Checklist!$D$3:$D$149,MATCH($A53,Checklist!$P$3:$P$149,0)))</f>
        <v/>
      </c>
      <c r="F53" s="28" t="str">
        <f>IF($A53="","",INDEX(Checklist!$F$3:$F$149,MATCH($A53,Checklist!$P$3:$P$149,0)))</f>
        <v/>
      </c>
      <c r="G53" s="28" t="str">
        <f>IF($A53="","",IF($D53&lt;&gt;"",INDEX(Checklist!$E$3:$E$149,MATCH(LEFT($B53,3),Checklist!$C$3:$C$149,0))&amp;" - "&amp;$D53,INDEX(Checklist!$E$3:$E$149,MATCH($A53,Checklist!$P$3:$P$149,0))))</f>
        <v/>
      </c>
      <c r="H53" s="28" t="str">
        <f>IF($A53="","",INDEX(Checklist!$G$3:$G$149,MATCH($A53,Checklist!$P$3:$P$149,0)))</f>
        <v/>
      </c>
      <c r="I53" s="30" t="str">
        <f>IF($A53="","",INDEX(Checklist!$N$3:$N$149,MATCH($A53,Checklist!$P$3:$P$149,0)))</f>
        <v/>
      </c>
      <c r="J53" s="27"/>
      <c r="K53" s="27"/>
      <c r="L53" s="29"/>
    </row>
    <row r="54" spans="1:12" ht="42" customHeight="1">
      <c r="A54" s="28" t="str">
        <f>IF(ROW()-4&lt;=COUNT(Checklist!$P$3:$P$149),ROW()-4,"")</f>
        <v/>
      </c>
      <c r="B54" s="28" t="str">
        <f>IF($A54="","",INDEX(Checklist!$C$3:$C$149,MATCH($A54,Checklist!$P$3:$P$149,0)))</f>
        <v/>
      </c>
      <c r="C54" s="28" t="str">
        <f>IF($A54="","",INDEX(Checklist!$B$3:$B$149,MATCH($A54,Checklist!$P$3:$P$149,0)))</f>
        <v/>
      </c>
      <c r="D54" s="28" t="str">
        <f>IF($A54="","",IF(INDEX(Checklist!$A$3:$A$149,MATCH($A54,Checklist!$P$3:$P$149,0))=7,IFERROR(LEFT(INDEX(Checklist!$E$3:$E$149,MATCH($A54,Checklist!$P$3:$P$149,0)),FIND(CHAR(10),INDEX(Checklist!$E$3:$E$149,MATCH($A54,Checklist!$P$3:$P$149,0)))-1),INDEX(Checklist!$E$3:$E$149,MATCH($A54,Checklist!$P$3:$P$149,0))),""))</f>
        <v/>
      </c>
      <c r="E54" s="28" t="str">
        <f>IF($A54="","",INDEX(Checklist!$D$3:$D$149,MATCH($A54,Checklist!$P$3:$P$149,0)))</f>
        <v/>
      </c>
      <c r="F54" s="28" t="str">
        <f>IF($A54="","",INDEX(Checklist!$F$3:$F$149,MATCH($A54,Checklist!$P$3:$P$149,0)))</f>
        <v/>
      </c>
      <c r="G54" s="28" t="str">
        <f>IF($A54="","",IF($D54&lt;&gt;"",INDEX(Checklist!$E$3:$E$149,MATCH(LEFT($B54,3),Checklist!$C$3:$C$149,0))&amp;" - "&amp;$D54,INDEX(Checklist!$E$3:$E$149,MATCH($A54,Checklist!$P$3:$P$149,0))))</f>
        <v/>
      </c>
      <c r="H54" s="28" t="str">
        <f>IF($A54="","",INDEX(Checklist!$G$3:$G$149,MATCH($A54,Checklist!$P$3:$P$149,0)))</f>
        <v/>
      </c>
      <c r="I54" s="30" t="str">
        <f>IF($A54="","",INDEX(Checklist!$N$3:$N$149,MATCH($A54,Checklist!$P$3:$P$149,0)))</f>
        <v/>
      </c>
      <c r="J54" s="27"/>
      <c r="K54" s="27"/>
      <c r="L54" s="29"/>
    </row>
    <row r="55" spans="1:12" ht="42" customHeight="1">
      <c r="A55" s="28" t="str">
        <f>IF(ROW()-4&lt;=COUNT(Checklist!$P$3:$P$149),ROW()-4,"")</f>
        <v/>
      </c>
      <c r="B55" s="28" t="str">
        <f>IF($A55="","",INDEX(Checklist!$C$3:$C$149,MATCH($A55,Checklist!$P$3:$P$149,0)))</f>
        <v/>
      </c>
      <c r="C55" s="28" t="str">
        <f>IF($A55="","",INDEX(Checklist!$B$3:$B$149,MATCH($A55,Checklist!$P$3:$P$149,0)))</f>
        <v/>
      </c>
      <c r="D55" s="28" t="str">
        <f>IF($A55="","",IF(INDEX(Checklist!$A$3:$A$149,MATCH($A55,Checklist!$P$3:$P$149,0))=7,IFERROR(LEFT(INDEX(Checklist!$E$3:$E$149,MATCH($A55,Checklist!$P$3:$P$149,0)),FIND(CHAR(10),INDEX(Checklist!$E$3:$E$149,MATCH($A55,Checklist!$P$3:$P$149,0)))-1),INDEX(Checklist!$E$3:$E$149,MATCH($A55,Checklist!$P$3:$P$149,0))),""))</f>
        <v/>
      </c>
      <c r="E55" s="28" t="str">
        <f>IF($A55="","",INDEX(Checklist!$D$3:$D$149,MATCH($A55,Checklist!$P$3:$P$149,0)))</f>
        <v/>
      </c>
      <c r="F55" s="28" t="str">
        <f>IF($A55="","",INDEX(Checklist!$F$3:$F$149,MATCH($A55,Checklist!$P$3:$P$149,0)))</f>
        <v/>
      </c>
      <c r="G55" s="28" t="str">
        <f>IF($A55="","",IF($D55&lt;&gt;"",INDEX(Checklist!$E$3:$E$149,MATCH(LEFT($B55,3),Checklist!$C$3:$C$149,0))&amp;" - "&amp;$D55,INDEX(Checklist!$E$3:$E$149,MATCH($A55,Checklist!$P$3:$P$149,0))))</f>
        <v/>
      </c>
      <c r="H55" s="28" t="str">
        <f>IF($A55="","",INDEX(Checklist!$G$3:$G$149,MATCH($A55,Checklist!$P$3:$P$149,0)))</f>
        <v/>
      </c>
      <c r="I55" s="30" t="str">
        <f>IF($A55="","",INDEX(Checklist!$N$3:$N$149,MATCH($A55,Checklist!$P$3:$P$149,0)))</f>
        <v/>
      </c>
      <c r="J55" s="27"/>
      <c r="K55" s="27"/>
      <c r="L55" s="29"/>
    </row>
    <row r="56" spans="1:12" ht="42" customHeight="1">
      <c r="A56" s="28" t="str">
        <f>IF(ROW()-4&lt;=COUNT(Checklist!$P$3:$P$149),ROW()-4,"")</f>
        <v/>
      </c>
      <c r="B56" s="28" t="str">
        <f>IF($A56="","",INDEX(Checklist!$C$3:$C$149,MATCH($A56,Checklist!$P$3:$P$149,0)))</f>
        <v/>
      </c>
      <c r="C56" s="28" t="str">
        <f>IF($A56="","",INDEX(Checklist!$B$3:$B$149,MATCH($A56,Checklist!$P$3:$P$149,0)))</f>
        <v/>
      </c>
      <c r="D56" s="28" t="str">
        <f>IF($A56="","",IF(INDEX(Checklist!$A$3:$A$149,MATCH($A56,Checklist!$P$3:$P$149,0))=7,IFERROR(LEFT(INDEX(Checklist!$E$3:$E$149,MATCH($A56,Checklist!$P$3:$P$149,0)),FIND(CHAR(10),INDEX(Checklist!$E$3:$E$149,MATCH($A56,Checklist!$P$3:$P$149,0)))-1),INDEX(Checklist!$E$3:$E$149,MATCH($A56,Checklist!$P$3:$P$149,0))),""))</f>
        <v/>
      </c>
      <c r="E56" s="28" t="str">
        <f>IF($A56="","",INDEX(Checklist!$D$3:$D$149,MATCH($A56,Checklist!$P$3:$P$149,0)))</f>
        <v/>
      </c>
      <c r="F56" s="28" t="str">
        <f>IF($A56="","",INDEX(Checklist!$F$3:$F$149,MATCH($A56,Checklist!$P$3:$P$149,0)))</f>
        <v/>
      </c>
      <c r="G56" s="28" t="str">
        <f>IF($A56="","",IF($D56&lt;&gt;"",INDEX(Checklist!$E$3:$E$149,MATCH(LEFT($B56,3),Checklist!$C$3:$C$149,0))&amp;" - "&amp;$D56,INDEX(Checklist!$E$3:$E$149,MATCH($A56,Checklist!$P$3:$P$149,0))))</f>
        <v/>
      </c>
      <c r="H56" s="28" t="str">
        <f>IF($A56="","",INDEX(Checklist!$G$3:$G$149,MATCH($A56,Checklist!$P$3:$P$149,0)))</f>
        <v/>
      </c>
      <c r="I56" s="30" t="str">
        <f>IF($A56="","",INDEX(Checklist!$N$3:$N$149,MATCH($A56,Checklist!$P$3:$P$149,0)))</f>
        <v/>
      </c>
      <c r="J56" s="27"/>
      <c r="K56" s="27"/>
      <c r="L56" s="29"/>
    </row>
    <row r="57" spans="1:12" ht="42" customHeight="1">
      <c r="A57" s="28" t="str">
        <f>IF(ROW()-4&lt;=COUNT(Checklist!$P$3:$P$149),ROW()-4,"")</f>
        <v/>
      </c>
      <c r="B57" s="28" t="str">
        <f>IF($A57="","",INDEX(Checklist!$C$3:$C$149,MATCH($A57,Checklist!$P$3:$P$149,0)))</f>
        <v/>
      </c>
      <c r="C57" s="28" t="str">
        <f>IF($A57="","",INDEX(Checklist!$B$3:$B$149,MATCH($A57,Checklist!$P$3:$P$149,0)))</f>
        <v/>
      </c>
      <c r="D57" s="28" t="str">
        <f>IF($A57="","",IF(INDEX(Checklist!$A$3:$A$149,MATCH($A57,Checklist!$P$3:$P$149,0))=7,IFERROR(LEFT(INDEX(Checklist!$E$3:$E$149,MATCH($A57,Checklist!$P$3:$P$149,0)),FIND(CHAR(10),INDEX(Checklist!$E$3:$E$149,MATCH($A57,Checklist!$P$3:$P$149,0)))-1),INDEX(Checklist!$E$3:$E$149,MATCH($A57,Checklist!$P$3:$P$149,0))),""))</f>
        <v/>
      </c>
      <c r="E57" s="28" t="str">
        <f>IF($A57="","",INDEX(Checklist!$D$3:$D$149,MATCH($A57,Checklist!$P$3:$P$149,0)))</f>
        <v/>
      </c>
      <c r="F57" s="28" t="str">
        <f>IF($A57="","",INDEX(Checklist!$F$3:$F$149,MATCH($A57,Checklist!$P$3:$P$149,0)))</f>
        <v/>
      </c>
      <c r="G57" s="28" t="str">
        <f>IF($A57="","",IF($D57&lt;&gt;"",INDEX(Checklist!$E$3:$E$149,MATCH(LEFT($B57,3),Checklist!$C$3:$C$149,0))&amp;" - "&amp;$D57,INDEX(Checklist!$E$3:$E$149,MATCH($A57,Checklist!$P$3:$P$149,0))))</f>
        <v/>
      </c>
      <c r="H57" s="28" t="str">
        <f>IF($A57="","",INDEX(Checklist!$G$3:$G$149,MATCH($A57,Checklist!$P$3:$P$149,0)))</f>
        <v/>
      </c>
      <c r="I57" s="30" t="str">
        <f>IF($A57="","",INDEX(Checklist!$N$3:$N$149,MATCH($A57,Checklist!$P$3:$P$149,0)))</f>
        <v/>
      </c>
      <c r="J57" s="27"/>
      <c r="K57" s="27"/>
      <c r="L57" s="29"/>
    </row>
    <row r="58" spans="1:12" ht="42" customHeight="1">
      <c r="A58" s="28" t="str">
        <f>IF(ROW()-4&lt;=COUNT(Checklist!$P$3:$P$149),ROW()-4,"")</f>
        <v/>
      </c>
      <c r="B58" s="28" t="str">
        <f>IF($A58="","",INDEX(Checklist!$C$3:$C$149,MATCH($A58,Checklist!$P$3:$P$149,0)))</f>
        <v/>
      </c>
      <c r="C58" s="28" t="str">
        <f>IF($A58="","",INDEX(Checklist!$B$3:$B$149,MATCH($A58,Checklist!$P$3:$P$149,0)))</f>
        <v/>
      </c>
      <c r="D58" s="28" t="str">
        <f>IF($A58="","",IF(INDEX(Checklist!$A$3:$A$149,MATCH($A58,Checklist!$P$3:$P$149,0))=7,IFERROR(LEFT(INDEX(Checklist!$E$3:$E$149,MATCH($A58,Checklist!$P$3:$P$149,0)),FIND(CHAR(10),INDEX(Checklist!$E$3:$E$149,MATCH($A58,Checklist!$P$3:$P$149,0)))-1),INDEX(Checklist!$E$3:$E$149,MATCH($A58,Checklist!$P$3:$P$149,0))),""))</f>
        <v/>
      </c>
      <c r="E58" s="28" t="str">
        <f>IF($A58="","",INDEX(Checklist!$D$3:$D$149,MATCH($A58,Checklist!$P$3:$P$149,0)))</f>
        <v/>
      </c>
      <c r="F58" s="28" t="str">
        <f>IF($A58="","",INDEX(Checklist!$F$3:$F$149,MATCH($A58,Checklist!$P$3:$P$149,0)))</f>
        <v/>
      </c>
      <c r="G58" s="28" t="str">
        <f>IF($A58="","",IF($D58&lt;&gt;"",INDEX(Checklist!$E$3:$E$149,MATCH(LEFT($B58,3),Checklist!$C$3:$C$149,0))&amp;" - "&amp;$D58,INDEX(Checklist!$E$3:$E$149,MATCH($A58,Checklist!$P$3:$P$149,0))))</f>
        <v/>
      </c>
      <c r="H58" s="28" t="str">
        <f>IF($A58="","",INDEX(Checklist!$G$3:$G$149,MATCH($A58,Checklist!$P$3:$P$149,0)))</f>
        <v/>
      </c>
      <c r="I58" s="30" t="str">
        <f>IF($A58="","",INDEX(Checklist!$N$3:$N$149,MATCH($A58,Checklist!$P$3:$P$149,0)))</f>
        <v/>
      </c>
      <c r="J58" s="27"/>
      <c r="K58" s="27"/>
      <c r="L58" s="29"/>
    </row>
    <row r="59" spans="1:12" ht="42" customHeight="1">
      <c r="A59" s="28" t="str">
        <f>IF(ROW()-4&lt;=COUNT(Checklist!$P$3:$P$149),ROW()-4,"")</f>
        <v/>
      </c>
      <c r="B59" s="28" t="str">
        <f>IF($A59="","",INDEX(Checklist!$C$3:$C$149,MATCH($A59,Checklist!$P$3:$P$149,0)))</f>
        <v/>
      </c>
      <c r="C59" s="28" t="str">
        <f>IF($A59="","",INDEX(Checklist!$B$3:$B$149,MATCH($A59,Checklist!$P$3:$P$149,0)))</f>
        <v/>
      </c>
      <c r="D59" s="28" t="str">
        <f>IF($A59="","",IF(INDEX(Checklist!$A$3:$A$149,MATCH($A59,Checklist!$P$3:$P$149,0))=7,IFERROR(LEFT(INDEX(Checklist!$E$3:$E$149,MATCH($A59,Checklist!$P$3:$P$149,0)),FIND(CHAR(10),INDEX(Checklist!$E$3:$E$149,MATCH($A59,Checklist!$P$3:$P$149,0)))-1),INDEX(Checklist!$E$3:$E$149,MATCH($A59,Checklist!$P$3:$P$149,0))),""))</f>
        <v/>
      </c>
      <c r="E59" s="28" t="str">
        <f>IF($A59="","",INDEX(Checklist!$D$3:$D$149,MATCH($A59,Checklist!$P$3:$P$149,0)))</f>
        <v/>
      </c>
      <c r="F59" s="28" t="str">
        <f>IF($A59="","",INDEX(Checklist!$F$3:$F$149,MATCH($A59,Checklist!$P$3:$P$149,0)))</f>
        <v/>
      </c>
      <c r="G59" s="28" t="str">
        <f>IF($A59="","",IF($D59&lt;&gt;"",INDEX(Checklist!$E$3:$E$149,MATCH(LEFT($B59,3),Checklist!$C$3:$C$149,0))&amp;" - "&amp;$D59,INDEX(Checklist!$E$3:$E$149,MATCH($A59,Checklist!$P$3:$P$149,0))))</f>
        <v/>
      </c>
      <c r="H59" s="28" t="str">
        <f>IF($A59="","",INDEX(Checklist!$G$3:$G$149,MATCH($A59,Checklist!$P$3:$P$149,0)))</f>
        <v/>
      </c>
      <c r="I59" s="30" t="str">
        <f>IF($A59="","",INDEX(Checklist!$N$3:$N$149,MATCH($A59,Checklist!$P$3:$P$149,0)))</f>
        <v/>
      </c>
      <c r="J59" s="27"/>
      <c r="K59" s="27"/>
      <c r="L59" s="29"/>
    </row>
    <row r="60" spans="1:12" ht="42" customHeight="1">
      <c r="A60" s="28" t="str">
        <f>IF(ROW()-4&lt;=COUNT(Checklist!$P$3:$P$149),ROW()-4,"")</f>
        <v/>
      </c>
      <c r="B60" s="28" t="str">
        <f>IF($A60="","",INDEX(Checklist!$C$3:$C$149,MATCH($A60,Checklist!$P$3:$P$149,0)))</f>
        <v/>
      </c>
      <c r="C60" s="28" t="str">
        <f>IF($A60="","",INDEX(Checklist!$B$3:$B$149,MATCH($A60,Checklist!$P$3:$P$149,0)))</f>
        <v/>
      </c>
      <c r="D60" s="28" t="str">
        <f>IF($A60="","",IF(INDEX(Checklist!$A$3:$A$149,MATCH($A60,Checklist!$P$3:$P$149,0))=7,IFERROR(LEFT(INDEX(Checklist!$E$3:$E$149,MATCH($A60,Checklist!$P$3:$P$149,0)),FIND(CHAR(10),INDEX(Checklist!$E$3:$E$149,MATCH($A60,Checklist!$P$3:$P$149,0)))-1),INDEX(Checklist!$E$3:$E$149,MATCH($A60,Checklist!$P$3:$P$149,0))),""))</f>
        <v/>
      </c>
      <c r="E60" s="28" t="str">
        <f>IF($A60="","",INDEX(Checklist!$D$3:$D$149,MATCH($A60,Checklist!$P$3:$P$149,0)))</f>
        <v/>
      </c>
      <c r="F60" s="28" t="str">
        <f>IF($A60="","",INDEX(Checklist!$F$3:$F$149,MATCH($A60,Checklist!$P$3:$P$149,0)))</f>
        <v/>
      </c>
      <c r="G60" s="28" t="str">
        <f>IF($A60="","",IF($D60&lt;&gt;"",INDEX(Checklist!$E$3:$E$149,MATCH(LEFT($B60,3),Checklist!$C$3:$C$149,0))&amp;" - "&amp;$D60,INDEX(Checklist!$E$3:$E$149,MATCH($A60,Checklist!$P$3:$P$149,0))))</f>
        <v/>
      </c>
      <c r="H60" s="28" t="str">
        <f>IF($A60="","",INDEX(Checklist!$G$3:$G$149,MATCH($A60,Checklist!$P$3:$P$149,0)))</f>
        <v/>
      </c>
      <c r="I60" s="30" t="str">
        <f>IF($A60="","",INDEX(Checklist!$N$3:$N$149,MATCH($A60,Checklist!$P$3:$P$149,0)))</f>
        <v/>
      </c>
      <c r="J60" s="27"/>
      <c r="K60" s="27"/>
      <c r="L60" s="29"/>
    </row>
    <row r="61" spans="1:12" ht="42" customHeight="1">
      <c r="A61" s="28" t="str">
        <f>IF(ROW()-4&lt;=COUNT(Checklist!$P$3:$P$149),ROW()-4,"")</f>
        <v/>
      </c>
      <c r="B61" s="28" t="str">
        <f>IF($A61="","",INDEX(Checklist!$C$3:$C$149,MATCH($A61,Checklist!$P$3:$P$149,0)))</f>
        <v/>
      </c>
      <c r="C61" s="28" t="str">
        <f>IF($A61="","",INDEX(Checklist!$B$3:$B$149,MATCH($A61,Checklist!$P$3:$P$149,0)))</f>
        <v/>
      </c>
      <c r="D61" s="28" t="str">
        <f>IF($A61="","",IF(INDEX(Checklist!$A$3:$A$149,MATCH($A61,Checklist!$P$3:$P$149,0))=7,IFERROR(LEFT(INDEX(Checklist!$E$3:$E$149,MATCH($A61,Checklist!$P$3:$P$149,0)),FIND(CHAR(10),INDEX(Checklist!$E$3:$E$149,MATCH($A61,Checklist!$P$3:$P$149,0)))-1),INDEX(Checklist!$E$3:$E$149,MATCH($A61,Checklist!$P$3:$P$149,0))),""))</f>
        <v/>
      </c>
      <c r="E61" s="28" t="str">
        <f>IF($A61="","",INDEX(Checklist!$D$3:$D$149,MATCH($A61,Checklist!$P$3:$P$149,0)))</f>
        <v/>
      </c>
      <c r="F61" s="28" t="str">
        <f>IF($A61="","",INDEX(Checklist!$F$3:$F$149,MATCH($A61,Checklist!$P$3:$P$149,0)))</f>
        <v/>
      </c>
      <c r="G61" s="28" t="str">
        <f>IF($A61="","",IF($D61&lt;&gt;"",INDEX(Checklist!$E$3:$E$149,MATCH(LEFT($B61,3),Checklist!$C$3:$C$149,0))&amp;" - "&amp;$D61,INDEX(Checklist!$E$3:$E$149,MATCH($A61,Checklist!$P$3:$P$149,0))))</f>
        <v/>
      </c>
      <c r="H61" s="28" t="str">
        <f>IF($A61="","",INDEX(Checklist!$G$3:$G$149,MATCH($A61,Checklist!$P$3:$P$149,0)))</f>
        <v/>
      </c>
      <c r="I61" s="30" t="str">
        <f>IF($A61="","",INDEX(Checklist!$N$3:$N$149,MATCH($A61,Checklist!$P$3:$P$149,0)))</f>
        <v/>
      </c>
      <c r="J61" s="27"/>
      <c r="K61" s="27"/>
      <c r="L61" s="29"/>
    </row>
    <row r="62" spans="1:12" ht="42" customHeight="1">
      <c r="A62" s="28" t="str">
        <f>IF(ROW()-4&lt;=COUNT(Checklist!$P$3:$P$149),ROW()-4,"")</f>
        <v/>
      </c>
      <c r="B62" s="28" t="str">
        <f>IF($A62="","",INDEX(Checklist!$C$3:$C$149,MATCH($A62,Checklist!$P$3:$P$149,0)))</f>
        <v/>
      </c>
      <c r="C62" s="28" t="str">
        <f>IF($A62="","",INDEX(Checklist!$B$3:$B$149,MATCH($A62,Checklist!$P$3:$P$149,0)))</f>
        <v/>
      </c>
      <c r="D62" s="28" t="str">
        <f>IF($A62="","",IF(INDEX(Checklist!$A$3:$A$149,MATCH($A62,Checklist!$P$3:$P$149,0))=7,IFERROR(LEFT(INDEX(Checklist!$E$3:$E$149,MATCH($A62,Checklist!$P$3:$P$149,0)),FIND(CHAR(10),INDEX(Checklist!$E$3:$E$149,MATCH($A62,Checklist!$P$3:$P$149,0)))-1),INDEX(Checklist!$E$3:$E$149,MATCH($A62,Checklist!$P$3:$P$149,0))),""))</f>
        <v/>
      </c>
      <c r="E62" s="28" t="str">
        <f>IF($A62="","",INDEX(Checklist!$D$3:$D$149,MATCH($A62,Checklist!$P$3:$P$149,0)))</f>
        <v/>
      </c>
      <c r="F62" s="28" t="str">
        <f>IF($A62="","",INDEX(Checklist!$F$3:$F$149,MATCH($A62,Checklist!$P$3:$P$149,0)))</f>
        <v/>
      </c>
      <c r="G62" s="28" t="str">
        <f>IF($A62="","",IF($D62&lt;&gt;"",INDEX(Checklist!$E$3:$E$149,MATCH(LEFT($B62,3),Checklist!$C$3:$C$149,0))&amp;" - "&amp;$D62,INDEX(Checklist!$E$3:$E$149,MATCH($A62,Checklist!$P$3:$P$149,0))))</f>
        <v/>
      </c>
      <c r="H62" s="28" t="str">
        <f>IF($A62="","",INDEX(Checklist!$G$3:$G$149,MATCH($A62,Checklist!$P$3:$P$149,0)))</f>
        <v/>
      </c>
      <c r="I62" s="30" t="str">
        <f>IF($A62="","",INDEX(Checklist!$N$3:$N$149,MATCH($A62,Checklist!$P$3:$P$149,0)))</f>
        <v/>
      </c>
      <c r="J62" s="27"/>
      <c r="K62" s="27"/>
      <c r="L62" s="29"/>
    </row>
    <row r="63" spans="1:12" ht="42" customHeight="1">
      <c r="A63" s="28" t="str">
        <f>IF(ROW()-4&lt;=COUNT(Checklist!$P$3:$P$149),ROW()-4,"")</f>
        <v/>
      </c>
      <c r="B63" s="28" t="str">
        <f>IF($A63="","",INDEX(Checklist!$C$3:$C$149,MATCH($A63,Checklist!$P$3:$P$149,0)))</f>
        <v/>
      </c>
      <c r="C63" s="28" t="str">
        <f>IF($A63="","",INDEX(Checklist!$B$3:$B$149,MATCH($A63,Checklist!$P$3:$P$149,0)))</f>
        <v/>
      </c>
      <c r="D63" s="28" t="str">
        <f>IF($A63="","",IF(INDEX(Checklist!$A$3:$A$149,MATCH($A63,Checklist!$P$3:$P$149,0))=7,IFERROR(LEFT(INDEX(Checklist!$E$3:$E$149,MATCH($A63,Checklist!$P$3:$P$149,0)),FIND(CHAR(10),INDEX(Checklist!$E$3:$E$149,MATCH($A63,Checklist!$P$3:$P$149,0)))-1),INDEX(Checklist!$E$3:$E$149,MATCH($A63,Checklist!$P$3:$P$149,0))),""))</f>
        <v/>
      </c>
      <c r="E63" s="28" t="str">
        <f>IF($A63="","",INDEX(Checklist!$D$3:$D$149,MATCH($A63,Checklist!$P$3:$P$149,0)))</f>
        <v/>
      </c>
      <c r="F63" s="28" t="str">
        <f>IF($A63="","",INDEX(Checklist!$F$3:$F$149,MATCH($A63,Checklist!$P$3:$P$149,0)))</f>
        <v/>
      </c>
      <c r="G63" s="28" t="str">
        <f>IF($A63="","",IF($D63&lt;&gt;"",INDEX(Checklist!$E$3:$E$149,MATCH(LEFT($B63,3),Checklist!$C$3:$C$149,0))&amp;" - "&amp;$D63,INDEX(Checklist!$E$3:$E$149,MATCH($A63,Checklist!$P$3:$P$149,0))))</f>
        <v/>
      </c>
      <c r="H63" s="28" t="str">
        <f>IF($A63="","",INDEX(Checklist!$G$3:$G$149,MATCH($A63,Checklist!$P$3:$P$149,0)))</f>
        <v/>
      </c>
      <c r="I63" s="30" t="str">
        <f>IF($A63="","",INDEX(Checklist!$N$3:$N$149,MATCH($A63,Checklist!$P$3:$P$149,0)))</f>
        <v/>
      </c>
      <c r="J63" s="27"/>
      <c r="K63" s="27"/>
      <c r="L63" s="29"/>
    </row>
    <row r="64" spans="1:12" ht="42" customHeight="1">
      <c r="A64" s="28" t="str">
        <f>IF(ROW()-4&lt;=COUNT(Checklist!$P$3:$P$149),ROW()-4,"")</f>
        <v/>
      </c>
      <c r="B64" s="28" t="str">
        <f>IF($A64="","",INDEX(Checklist!$C$3:$C$149,MATCH($A64,Checklist!$P$3:$P$149,0)))</f>
        <v/>
      </c>
      <c r="C64" s="28" t="str">
        <f>IF($A64="","",INDEX(Checklist!$B$3:$B$149,MATCH($A64,Checklist!$P$3:$P$149,0)))</f>
        <v/>
      </c>
      <c r="D64" s="28" t="str">
        <f>IF($A64="","",IF(INDEX(Checklist!$A$3:$A$149,MATCH($A64,Checklist!$P$3:$P$149,0))=7,IFERROR(LEFT(INDEX(Checklist!$E$3:$E$149,MATCH($A64,Checklist!$P$3:$P$149,0)),FIND(CHAR(10),INDEX(Checklist!$E$3:$E$149,MATCH($A64,Checklist!$P$3:$P$149,0)))-1),INDEX(Checklist!$E$3:$E$149,MATCH($A64,Checklist!$P$3:$P$149,0))),""))</f>
        <v/>
      </c>
      <c r="E64" s="28" t="str">
        <f>IF($A64="","",INDEX(Checklist!$D$3:$D$149,MATCH($A64,Checklist!$P$3:$P$149,0)))</f>
        <v/>
      </c>
      <c r="F64" s="28" t="str">
        <f>IF($A64="","",INDEX(Checklist!$F$3:$F$149,MATCH($A64,Checklist!$P$3:$P$149,0)))</f>
        <v/>
      </c>
      <c r="G64" s="28" t="str">
        <f>IF($A64="","",IF($D64&lt;&gt;"",INDEX(Checklist!$E$3:$E$149,MATCH(LEFT($B64,3),Checklist!$C$3:$C$149,0))&amp;" - "&amp;$D64,INDEX(Checklist!$E$3:$E$149,MATCH($A64,Checklist!$P$3:$P$149,0))))</f>
        <v/>
      </c>
      <c r="H64" s="28" t="str">
        <f>IF($A64="","",INDEX(Checklist!$G$3:$G$149,MATCH($A64,Checklist!$P$3:$P$149,0)))</f>
        <v/>
      </c>
      <c r="I64" s="30" t="str">
        <f>IF($A64="","",INDEX(Checklist!$N$3:$N$149,MATCH($A64,Checklist!$P$3:$P$149,0)))</f>
        <v/>
      </c>
      <c r="J64" s="27"/>
      <c r="K64" s="27"/>
      <c r="L64" s="29"/>
    </row>
    <row r="65" spans="1:12" ht="42" customHeight="1">
      <c r="A65" s="28" t="str">
        <f>IF(ROW()-4&lt;=COUNT(Checklist!$P$3:$P$149),ROW()-4,"")</f>
        <v/>
      </c>
      <c r="B65" s="28" t="str">
        <f>IF($A65="","",INDEX(Checklist!$C$3:$C$149,MATCH($A65,Checklist!$P$3:$P$149,0)))</f>
        <v/>
      </c>
      <c r="C65" s="28" t="str">
        <f>IF($A65="","",INDEX(Checklist!$B$3:$B$149,MATCH($A65,Checklist!$P$3:$P$149,0)))</f>
        <v/>
      </c>
      <c r="D65" s="28" t="str">
        <f>IF($A65="","",IF(INDEX(Checklist!$A$3:$A$149,MATCH($A65,Checklist!$P$3:$P$149,0))=7,IFERROR(LEFT(INDEX(Checklist!$E$3:$E$149,MATCH($A65,Checklist!$P$3:$P$149,0)),FIND(CHAR(10),INDEX(Checklist!$E$3:$E$149,MATCH($A65,Checklist!$P$3:$P$149,0)))-1),INDEX(Checklist!$E$3:$E$149,MATCH($A65,Checklist!$P$3:$P$149,0))),""))</f>
        <v/>
      </c>
      <c r="E65" s="28" t="str">
        <f>IF($A65="","",INDEX(Checklist!$D$3:$D$149,MATCH($A65,Checklist!$P$3:$P$149,0)))</f>
        <v/>
      </c>
      <c r="F65" s="28" t="str">
        <f>IF($A65="","",INDEX(Checklist!$F$3:$F$149,MATCH($A65,Checklist!$P$3:$P$149,0)))</f>
        <v/>
      </c>
      <c r="G65" s="28" t="str">
        <f>IF($A65="","",IF($D65&lt;&gt;"",INDEX(Checklist!$E$3:$E$149,MATCH(LEFT($B65,3),Checklist!$C$3:$C$149,0))&amp;" - "&amp;$D65,INDEX(Checklist!$E$3:$E$149,MATCH($A65,Checklist!$P$3:$P$149,0))))</f>
        <v/>
      </c>
      <c r="H65" s="28" t="str">
        <f>IF($A65="","",INDEX(Checklist!$G$3:$G$149,MATCH($A65,Checklist!$P$3:$P$149,0)))</f>
        <v/>
      </c>
      <c r="I65" s="30" t="str">
        <f>IF($A65="","",INDEX(Checklist!$N$3:$N$149,MATCH($A65,Checklist!$P$3:$P$149,0)))</f>
        <v/>
      </c>
      <c r="J65" s="27"/>
      <c r="K65" s="27"/>
      <c r="L65" s="29"/>
    </row>
    <row r="66" spans="1:12" ht="42" customHeight="1">
      <c r="A66" s="28" t="str">
        <f>IF(ROW()-4&lt;=COUNT(Checklist!$P$3:$P$149),ROW()-4,"")</f>
        <v/>
      </c>
      <c r="B66" s="28" t="str">
        <f>IF($A66="","",INDEX(Checklist!$C$3:$C$149,MATCH($A66,Checklist!$P$3:$P$149,0)))</f>
        <v/>
      </c>
      <c r="C66" s="28" t="str">
        <f>IF($A66="","",INDEX(Checklist!$B$3:$B$149,MATCH($A66,Checklist!$P$3:$P$149,0)))</f>
        <v/>
      </c>
      <c r="D66" s="28" t="str">
        <f>IF($A66="","",IF(INDEX(Checklist!$A$3:$A$149,MATCH($A66,Checklist!$P$3:$P$149,0))=7,IFERROR(LEFT(INDEX(Checklist!$E$3:$E$149,MATCH($A66,Checklist!$P$3:$P$149,0)),FIND(CHAR(10),INDEX(Checklist!$E$3:$E$149,MATCH($A66,Checklist!$P$3:$P$149,0)))-1),INDEX(Checklist!$E$3:$E$149,MATCH($A66,Checklist!$P$3:$P$149,0))),""))</f>
        <v/>
      </c>
      <c r="E66" s="28" t="str">
        <f>IF($A66="","",INDEX(Checklist!$D$3:$D$149,MATCH($A66,Checklist!$P$3:$P$149,0)))</f>
        <v/>
      </c>
      <c r="F66" s="28" t="str">
        <f>IF($A66="","",INDEX(Checklist!$F$3:$F$149,MATCH($A66,Checklist!$P$3:$P$149,0)))</f>
        <v/>
      </c>
      <c r="G66" s="28" t="str">
        <f>IF($A66="","",IF($D66&lt;&gt;"",INDEX(Checklist!$E$3:$E$149,MATCH(LEFT($B66,3),Checklist!$C$3:$C$149,0))&amp;" - "&amp;$D66,INDEX(Checklist!$E$3:$E$149,MATCH($A66,Checklist!$P$3:$P$149,0))))</f>
        <v/>
      </c>
      <c r="H66" s="28" t="str">
        <f>IF($A66="","",INDEX(Checklist!$G$3:$G$149,MATCH($A66,Checklist!$P$3:$P$149,0)))</f>
        <v/>
      </c>
      <c r="I66" s="30" t="str">
        <f>IF($A66="","",INDEX(Checklist!$N$3:$N$149,MATCH($A66,Checklist!$P$3:$P$149,0)))</f>
        <v/>
      </c>
      <c r="J66" s="27"/>
      <c r="K66" s="27"/>
      <c r="L66" s="29"/>
    </row>
    <row r="67" spans="1:12" ht="42" customHeight="1">
      <c r="A67" s="28" t="str">
        <f>IF(ROW()-4&lt;=COUNT(Checklist!$P$3:$P$149),ROW()-4,"")</f>
        <v/>
      </c>
      <c r="B67" s="28" t="str">
        <f>IF($A67="","",INDEX(Checklist!$C$3:$C$149,MATCH($A67,Checklist!$P$3:$P$149,0)))</f>
        <v/>
      </c>
      <c r="C67" s="28" t="str">
        <f>IF($A67="","",INDEX(Checklist!$B$3:$B$149,MATCH($A67,Checklist!$P$3:$P$149,0)))</f>
        <v/>
      </c>
      <c r="D67" s="28" t="str">
        <f>IF($A67="","",IF(INDEX(Checklist!$A$3:$A$149,MATCH($A67,Checklist!$P$3:$P$149,0))=7,IFERROR(LEFT(INDEX(Checklist!$E$3:$E$149,MATCH($A67,Checklist!$P$3:$P$149,0)),FIND(CHAR(10),INDEX(Checklist!$E$3:$E$149,MATCH($A67,Checklist!$P$3:$P$149,0)))-1),INDEX(Checklist!$E$3:$E$149,MATCH($A67,Checklist!$P$3:$P$149,0))),""))</f>
        <v/>
      </c>
      <c r="E67" s="28" t="str">
        <f>IF($A67="","",INDEX(Checklist!$D$3:$D$149,MATCH($A67,Checklist!$P$3:$P$149,0)))</f>
        <v/>
      </c>
      <c r="F67" s="28" t="str">
        <f>IF($A67="","",INDEX(Checklist!$F$3:$F$149,MATCH($A67,Checklist!$P$3:$P$149,0)))</f>
        <v/>
      </c>
      <c r="G67" s="28" t="str">
        <f>IF($A67="","",IF($D67&lt;&gt;"",INDEX(Checklist!$E$3:$E$149,MATCH(LEFT($B67,3),Checklist!$C$3:$C$149,0))&amp;" - "&amp;$D67,INDEX(Checklist!$E$3:$E$149,MATCH($A67,Checklist!$P$3:$P$149,0))))</f>
        <v/>
      </c>
      <c r="H67" s="28" t="str">
        <f>IF($A67="","",INDEX(Checklist!$G$3:$G$149,MATCH($A67,Checklist!$P$3:$P$149,0)))</f>
        <v/>
      </c>
      <c r="I67" s="30" t="str">
        <f>IF($A67="","",INDEX(Checklist!$N$3:$N$149,MATCH($A67,Checklist!$P$3:$P$149,0)))</f>
        <v/>
      </c>
      <c r="J67" s="27"/>
      <c r="K67" s="27"/>
      <c r="L67" s="29"/>
    </row>
    <row r="68" spans="1:12" ht="42" customHeight="1">
      <c r="A68" s="28" t="str">
        <f>IF(ROW()-4&lt;=COUNT(Checklist!$P$3:$P$149),ROW()-4,"")</f>
        <v/>
      </c>
      <c r="B68" s="28" t="str">
        <f>IF($A68="","",INDEX(Checklist!$C$3:$C$149,MATCH($A68,Checklist!$P$3:$P$149,0)))</f>
        <v/>
      </c>
      <c r="C68" s="28" t="str">
        <f>IF($A68="","",INDEX(Checklist!$B$3:$B$149,MATCH($A68,Checklist!$P$3:$P$149,0)))</f>
        <v/>
      </c>
      <c r="D68" s="28" t="str">
        <f>IF($A68="","",IF(INDEX(Checklist!$A$3:$A$149,MATCH($A68,Checklist!$P$3:$P$149,0))=7,IFERROR(LEFT(INDEX(Checklist!$E$3:$E$149,MATCH($A68,Checklist!$P$3:$P$149,0)),FIND(CHAR(10),INDEX(Checklist!$E$3:$E$149,MATCH($A68,Checklist!$P$3:$P$149,0)))-1),INDEX(Checklist!$E$3:$E$149,MATCH($A68,Checklist!$P$3:$P$149,0))),""))</f>
        <v/>
      </c>
      <c r="E68" s="28" t="str">
        <f>IF($A68="","",INDEX(Checklist!$D$3:$D$149,MATCH($A68,Checklist!$P$3:$P$149,0)))</f>
        <v/>
      </c>
      <c r="F68" s="28" t="str">
        <f>IF($A68="","",INDEX(Checklist!$F$3:$F$149,MATCH($A68,Checklist!$P$3:$P$149,0)))</f>
        <v/>
      </c>
      <c r="G68" s="28" t="str">
        <f>IF($A68="","",IF($D68&lt;&gt;"",INDEX(Checklist!$E$3:$E$149,MATCH(LEFT($B68,3),Checklist!$C$3:$C$149,0))&amp;" - "&amp;$D68,INDEX(Checklist!$E$3:$E$149,MATCH($A68,Checklist!$P$3:$P$149,0))))</f>
        <v/>
      </c>
      <c r="H68" s="28" t="str">
        <f>IF($A68="","",INDEX(Checklist!$G$3:$G$149,MATCH($A68,Checklist!$P$3:$P$149,0)))</f>
        <v/>
      </c>
      <c r="I68" s="30" t="str">
        <f>IF($A68="","",INDEX(Checklist!$N$3:$N$149,MATCH($A68,Checklist!$P$3:$P$149,0)))</f>
        <v/>
      </c>
      <c r="J68" s="27"/>
      <c r="K68" s="27"/>
      <c r="L68" s="29"/>
    </row>
    <row r="69" spans="1:12" ht="42" customHeight="1">
      <c r="A69" s="28" t="str">
        <f>IF(ROW()-4&lt;=COUNT(Checklist!$P$3:$P$149),ROW()-4,"")</f>
        <v/>
      </c>
      <c r="B69" s="28" t="str">
        <f>IF($A69="","",INDEX(Checklist!$C$3:$C$149,MATCH($A69,Checklist!$P$3:$P$149,0)))</f>
        <v/>
      </c>
      <c r="C69" s="28" t="str">
        <f>IF($A69="","",INDEX(Checklist!$B$3:$B$149,MATCH($A69,Checklist!$P$3:$P$149,0)))</f>
        <v/>
      </c>
      <c r="D69" s="28" t="str">
        <f>IF($A69="","",IF(INDEX(Checklist!$A$3:$A$149,MATCH($A69,Checklist!$P$3:$P$149,0))=7,IFERROR(LEFT(INDEX(Checklist!$E$3:$E$149,MATCH($A69,Checklist!$P$3:$P$149,0)),FIND(CHAR(10),INDEX(Checklist!$E$3:$E$149,MATCH($A69,Checklist!$P$3:$P$149,0)))-1),INDEX(Checklist!$E$3:$E$149,MATCH($A69,Checklist!$P$3:$P$149,0))),""))</f>
        <v/>
      </c>
      <c r="E69" s="28" t="str">
        <f>IF($A69="","",INDEX(Checklist!$D$3:$D$149,MATCH($A69,Checklist!$P$3:$P$149,0)))</f>
        <v/>
      </c>
      <c r="F69" s="28" t="str">
        <f>IF($A69="","",INDEX(Checklist!$F$3:$F$149,MATCH($A69,Checklist!$P$3:$P$149,0)))</f>
        <v/>
      </c>
      <c r="G69" s="28" t="str">
        <f>IF($A69="","",IF($D69&lt;&gt;"",INDEX(Checklist!$E$3:$E$149,MATCH(LEFT($B69,3),Checklist!$C$3:$C$149,0))&amp;" - "&amp;$D69,INDEX(Checklist!$E$3:$E$149,MATCH($A69,Checklist!$P$3:$P$149,0))))</f>
        <v/>
      </c>
      <c r="H69" s="28" t="str">
        <f>IF($A69="","",INDEX(Checklist!$G$3:$G$149,MATCH($A69,Checklist!$P$3:$P$149,0)))</f>
        <v/>
      </c>
      <c r="I69" s="30" t="str">
        <f>IF($A69="","",INDEX(Checklist!$N$3:$N$149,MATCH($A69,Checklist!$P$3:$P$149,0)))</f>
        <v/>
      </c>
      <c r="J69" s="27"/>
      <c r="K69" s="27"/>
      <c r="L69" s="29"/>
    </row>
    <row r="70" spans="1:12" ht="42" customHeight="1">
      <c r="A70" s="28" t="str">
        <f>IF(ROW()-4&lt;=COUNT(Checklist!$P$3:$P$149),ROW()-4,"")</f>
        <v/>
      </c>
      <c r="B70" s="28" t="str">
        <f>IF($A70="","",INDEX(Checklist!$C$3:$C$149,MATCH($A70,Checklist!$P$3:$P$149,0)))</f>
        <v/>
      </c>
      <c r="C70" s="28" t="str">
        <f>IF($A70="","",INDEX(Checklist!$B$3:$B$149,MATCH($A70,Checklist!$P$3:$P$149,0)))</f>
        <v/>
      </c>
      <c r="D70" s="28" t="str">
        <f>IF($A70="","",IF(INDEX(Checklist!$A$3:$A$149,MATCH($A70,Checklist!$P$3:$P$149,0))=7,IFERROR(LEFT(INDEX(Checklist!$E$3:$E$149,MATCH($A70,Checklist!$P$3:$P$149,0)),FIND(CHAR(10),INDEX(Checklist!$E$3:$E$149,MATCH($A70,Checklist!$P$3:$P$149,0)))-1),INDEX(Checklist!$E$3:$E$149,MATCH($A70,Checklist!$P$3:$P$149,0))),""))</f>
        <v/>
      </c>
      <c r="E70" s="28" t="str">
        <f>IF($A70="","",INDEX(Checklist!$D$3:$D$149,MATCH($A70,Checklist!$P$3:$P$149,0)))</f>
        <v/>
      </c>
      <c r="F70" s="28" t="str">
        <f>IF($A70="","",INDEX(Checklist!$F$3:$F$149,MATCH($A70,Checklist!$P$3:$P$149,0)))</f>
        <v/>
      </c>
      <c r="G70" s="28" t="str">
        <f>IF($A70="","",IF($D70&lt;&gt;"",INDEX(Checklist!$E$3:$E$149,MATCH(LEFT($B70,3),Checklist!$C$3:$C$149,0))&amp;" - "&amp;$D70,INDEX(Checklist!$E$3:$E$149,MATCH($A70,Checklist!$P$3:$P$149,0))))</f>
        <v/>
      </c>
      <c r="H70" s="28" t="str">
        <f>IF($A70="","",INDEX(Checklist!$G$3:$G$149,MATCH($A70,Checklist!$P$3:$P$149,0)))</f>
        <v/>
      </c>
      <c r="I70" s="30" t="str">
        <f>IF($A70="","",INDEX(Checklist!$N$3:$N$149,MATCH($A70,Checklist!$P$3:$P$149,0)))</f>
        <v/>
      </c>
      <c r="J70" s="27"/>
      <c r="K70" s="27"/>
      <c r="L70" s="29"/>
    </row>
    <row r="71" spans="1:12" ht="42" customHeight="1">
      <c r="A71" s="28" t="str">
        <f>IF(ROW()-4&lt;=COUNT(Checklist!$P$3:$P$149),ROW()-4,"")</f>
        <v/>
      </c>
      <c r="B71" s="28" t="str">
        <f>IF($A71="","",INDEX(Checklist!$C$3:$C$149,MATCH($A71,Checklist!$P$3:$P$149,0)))</f>
        <v/>
      </c>
      <c r="C71" s="28" t="str">
        <f>IF($A71="","",INDEX(Checklist!$B$3:$B$149,MATCH($A71,Checklist!$P$3:$P$149,0)))</f>
        <v/>
      </c>
      <c r="D71" s="28" t="str">
        <f>IF($A71="","",IF(INDEX(Checklist!$A$3:$A$149,MATCH($A71,Checklist!$P$3:$P$149,0))=7,IFERROR(LEFT(INDEX(Checklist!$E$3:$E$149,MATCH($A71,Checklist!$P$3:$P$149,0)),FIND(CHAR(10),INDEX(Checklist!$E$3:$E$149,MATCH($A71,Checklist!$P$3:$P$149,0)))-1),INDEX(Checklist!$E$3:$E$149,MATCH($A71,Checklist!$P$3:$P$149,0))),""))</f>
        <v/>
      </c>
      <c r="E71" s="28" t="str">
        <f>IF($A71="","",INDEX(Checklist!$D$3:$D$149,MATCH($A71,Checklist!$P$3:$P$149,0)))</f>
        <v/>
      </c>
      <c r="F71" s="28" t="str">
        <f>IF($A71="","",INDEX(Checklist!$F$3:$F$149,MATCH($A71,Checklist!$P$3:$P$149,0)))</f>
        <v/>
      </c>
      <c r="G71" s="28" t="str">
        <f>IF($A71="","",IF($D71&lt;&gt;"",INDEX(Checklist!$E$3:$E$149,MATCH(LEFT($B71,3),Checklist!$C$3:$C$149,0))&amp;" - "&amp;$D71,INDEX(Checklist!$E$3:$E$149,MATCH($A71,Checklist!$P$3:$P$149,0))))</f>
        <v/>
      </c>
      <c r="H71" s="28" t="str">
        <f>IF($A71="","",INDEX(Checklist!$G$3:$G$149,MATCH($A71,Checklist!$P$3:$P$149,0)))</f>
        <v/>
      </c>
      <c r="I71" s="30" t="str">
        <f>IF($A71="","",INDEX(Checklist!$N$3:$N$149,MATCH($A71,Checklist!$P$3:$P$149,0)))</f>
        <v/>
      </c>
      <c r="J71" s="27"/>
      <c r="K71" s="27"/>
      <c r="L71" s="29"/>
    </row>
    <row r="72" spans="1:12" ht="42" customHeight="1">
      <c r="A72" s="28" t="str">
        <f>IF(ROW()-4&lt;=COUNT(Checklist!$P$3:$P$149),ROW()-4,"")</f>
        <v/>
      </c>
      <c r="B72" s="28" t="str">
        <f>IF($A72="","",INDEX(Checklist!$C$3:$C$149,MATCH($A72,Checklist!$P$3:$P$149,0)))</f>
        <v/>
      </c>
      <c r="C72" s="28" t="str">
        <f>IF($A72="","",INDEX(Checklist!$B$3:$B$149,MATCH($A72,Checklist!$P$3:$P$149,0)))</f>
        <v/>
      </c>
      <c r="D72" s="28" t="str">
        <f>IF($A72="","",IF(INDEX(Checklist!$A$3:$A$149,MATCH($A72,Checklist!$P$3:$P$149,0))=7,IFERROR(LEFT(INDEX(Checklist!$E$3:$E$149,MATCH($A72,Checklist!$P$3:$P$149,0)),FIND(CHAR(10),INDEX(Checklist!$E$3:$E$149,MATCH($A72,Checklist!$P$3:$P$149,0)))-1),INDEX(Checklist!$E$3:$E$149,MATCH($A72,Checklist!$P$3:$P$149,0))),""))</f>
        <v/>
      </c>
      <c r="E72" s="28" t="str">
        <f>IF($A72="","",INDEX(Checklist!$D$3:$D$149,MATCH($A72,Checklist!$P$3:$P$149,0)))</f>
        <v/>
      </c>
      <c r="F72" s="28" t="str">
        <f>IF($A72="","",INDEX(Checklist!$F$3:$F$149,MATCH($A72,Checklist!$P$3:$P$149,0)))</f>
        <v/>
      </c>
      <c r="G72" s="28" t="str">
        <f>IF($A72="","",IF($D72&lt;&gt;"",INDEX(Checklist!$E$3:$E$149,MATCH(LEFT($B72,3),Checklist!$C$3:$C$149,0))&amp;" - "&amp;$D72,INDEX(Checklist!$E$3:$E$149,MATCH($A72,Checklist!$P$3:$P$149,0))))</f>
        <v/>
      </c>
      <c r="H72" s="28" t="str">
        <f>IF($A72="","",INDEX(Checklist!$G$3:$G$149,MATCH($A72,Checklist!$P$3:$P$149,0)))</f>
        <v/>
      </c>
      <c r="I72" s="30" t="str">
        <f>IF($A72="","",INDEX(Checklist!$N$3:$N$149,MATCH($A72,Checklist!$P$3:$P$149,0)))</f>
        <v/>
      </c>
      <c r="J72" s="27"/>
      <c r="K72" s="27"/>
      <c r="L72" s="29"/>
    </row>
    <row r="73" spans="1:12" ht="42" customHeight="1">
      <c r="A73" s="28" t="str">
        <f>IF(ROW()-4&lt;=COUNT(Checklist!$P$3:$P$149),ROW()-4,"")</f>
        <v/>
      </c>
      <c r="B73" s="28" t="str">
        <f>IF($A73="","",INDEX(Checklist!$C$3:$C$149,MATCH($A73,Checklist!$P$3:$P$149,0)))</f>
        <v/>
      </c>
      <c r="C73" s="28" t="str">
        <f>IF($A73="","",INDEX(Checklist!$B$3:$B$149,MATCH($A73,Checklist!$P$3:$P$149,0)))</f>
        <v/>
      </c>
      <c r="D73" s="28" t="str">
        <f>IF($A73="","",IF(INDEX(Checklist!$A$3:$A$149,MATCH($A73,Checklist!$P$3:$P$149,0))=7,IFERROR(LEFT(INDEX(Checklist!$E$3:$E$149,MATCH($A73,Checklist!$P$3:$P$149,0)),FIND(CHAR(10),INDEX(Checklist!$E$3:$E$149,MATCH($A73,Checklist!$P$3:$P$149,0)))-1),INDEX(Checklist!$E$3:$E$149,MATCH($A73,Checklist!$P$3:$P$149,0))),""))</f>
        <v/>
      </c>
      <c r="E73" s="28" t="str">
        <f>IF($A73="","",INDEX(Checklist!$D$3:$D$149,MATCH($A73,Checklist!$P$3:$P$149,0)))</f>
        <v/>
      </c>
      <c r="F73" s="28" t="str">
        <f>IF($A73="","",INDEX(Checklist!$F$3:$F$149,MATCH($A73,Checklist!$P$3:$P$149,0)))</f>
        <v/>
      </c>
      <c r="G73" s="28" t="str">
        <f>IF($A73="","",IF($D73&lt;&gt;"",INDEX(Checklist!$E$3:$E$149,MATCH(LEFT($B73,3),Checklist!$C$3:$C$149,0))&amp;" - "&amp;$D73,INDEX(Checklist!$E$3:$E$149,MATCH($A73,Checklist!$P$3:$P$149,0))))</f>
        <v/>
      </c>
      <c r="H73" s="28" t="str">
        <f>IF($A73="","",INDEX(Checklist!$G$3:$G$149,MATCH($A73,Checklist!$P$3:$P$149,0)))</f>
        <v/>
      </c>
      <c r="I73" s="30" t="str">
        <f>IF($A73="","",INDEX(Checklist!$N$3:$N$149,MATCH($A73,Checklist!$P$3:$P$149,0)))</f>
        <v/>
      </c>
      <c r="J73" s="27"/>
      <c r="K73" s="27"/>
      <c r="L73" s="29"/>
    </row>
    <row r="74" spans="1:12" ht="42" customHeight="1">
      <c r="A74" s="28" t="str">
        <f>IF(ROW()-4&lt;=COUNT(Checklist!$P$3:$P$149),ROW()-4,"")</f>
        <v/>
      </c>
      <c r="B74" s="28" t="str">
        <f>IF($A74="","",INDEX(Checklist!$C$3:$C$149,MATCH($A74,Checklist!$P$3:$P$149,0)))</f>
        <v/>
      </c>
      <c r="C74" s="28" t="str">
        <f>IF($A74="","",INDEX(Checklist!$B$3:$B$149,MATCH($A74,Checklist!$P$3:$P$149,0)))</f>
        <v/>
      </c>
      <c r="D74" s="28" t="str">
        <f>IF($A74="","",IF(INDEX(Checklist!$A$3:$A$149,MATCH($A74,Checklist!$P$3:$P$149,0))=7,IFERROR(LEFT(INDEX(Checklist!$E$3:$E$149,MATCH($A74,Checklist!$P$3:$P$149,0)),FIND(CHAR(10),INDEX(Checklist!$E$3:$E$149,MATCH($A74,Checklist!$P$3:$P$149,0)))-1),INDEX(Checklist!$E$3:$E$149,MATCH($A74,Checklist!$P$3:$P$149,0))),""))</f>
        <v/>
      </c>
      <c r="E74" s="28" t="str">
        <f>IF($A74="","",INDEX(Checklist!$D$3:$D$149,MATCH($A74,Checklist!$P$3:$P$149,0)))</f>
        <v/>
      </c>
      <c r="F74" s="28" t="str">
        <f>IF($A74="","",INDEX(Checklist!$F$3:$F$149,MATCH($A74,Checklist!$P$3:$P$149,0)))</f>
        <v/>
      </c>
      <c r="G74" s="28" t="str">
        <f>IF($A74="","",IF($D74&lt;&gt;"",INDEX(Checklist!$E$3:$E$149,MATCH(LEFT($B74,3),Checklist!$C$3:$C$149,0))&amp;" - "&amp;$D74,INDEX(Checklist!$E$3:$E$149,MATCH($A74,Checklist!$P$3:$P$149,0))))</f>
        <v/>
      </c>
      <c r="H74" s="28" t="str">
        <f>IF($A74="","",INDEX(Checklist!$G$3:$G$149,MATCH($A74,Checklist!$P$3:$P$149,0)))</f>
        <v/>
      </c>
      <c r="I74" s="30" t="str">
        <f>IF($A74="","",INDEX(Checklist!$N$3:$N$149,MATCH($A74,Checklist!$P$3:$P$149,0)))</f>
        <v/>
      </c>
      <c r="J74" s="27"/>
      <c r="K74" s="27"/>
      <c r="L74" s="29"/>
    </row>
    <row r="75" spans="1:12" ht="42" customHeight="1">
      <c r="A75" s="28" t="str">
        <f>IF(ROW()-4&lt;=COUNT(Checklist!$P$3:$P$149),ROW()-4,"")</f>
        <v/>
      </c>
      <c r="B75" s="28" t="str">
        <f>IF($A75="","",INDEX(Checklist!$C$3:$C$149,MATCH($A75,Checklist!$P$3:$P$149,0)))</f>
        <v/>
      </c>
      <c r="C75" s="28" t="str">
        <f>IF($A75="","",INDEX(Checklist!$B$3:$B$149,MATCH($A75,Checklist!$P$3:$P$149,0)))</f>
        <v/>
      </c>
      <c r="D75" s="28" t="str">
        <f>IF($A75="","",IF(INDEX(Checklist!$A$3:$A$149,MATCH($A75,Checklist!$P$3:$P$149,0))=7,IFERROR(LEFT(INDEX(Checklist!$E$3:$E$149,MATCH($A75,Checklist!$P$3:$P$149,0)),FIND(CHAR(10),INDEX(Checklist!$E$3:$E$149,MATCH($A75,Checklist!$P$3:$P$149,0)))-1),INDEX(Checklist!$E$3:$E$149,MATCH($A75,Checklist!$P$3:$P$149,0))),""))</f>
        <v/>
      </c>
      <c r="E75" s="28" t="str">
        <f>IF($A75="","",INDEX(Checklist!$D$3:$D$149,MATCH($A75,Checklist!$P$3:$P$149,0)))</f>
        <v/>
      </c>
      <c r="F75" s="28" t="str">
        <f>IF($A75="","",INDEX(Checklist!$F$3:$F$149,MATCH($A75,Checklist!$P$3:$P$149,0)))</f>
        <v/>
      </c>
      <c r="G75" s="28" t="str">
        <f>IF($A75="","",IF($D75&lt;&gt;"",INDEX(Checklist!$E$3:$E$149,MATCH(LEFT($B75,3),Checklist!$C$3:$C$149,0))&amp;" - "&amp;$D75,INDEX(Checklist!$E$3:$E$149,MATCH($A75,Checklist!$P$3:$P$149,0))))</f>
        <v/>
      </c>
      <c r="H75" s="28" t="str">
        <f>IF($A75="","",INDEX(Checklist!$G$3:$G$149,MATCH($A75,Checklist!$P$3:$P$149,0)))</f>
        <v/>
      </c>
      <c r="I75" s="30" t="str">
        <f>IF($A75="","",INDEX(Checklist!$N$3:$N$149,MATCH($A75,Checklist!$P$3:$P$149,0)))</f>
        <v/>
      </c>
      <c r="J75" s="27"/>
      <c r="K75" s="27"/>
      <c r="L75" s="29"/>
    </row>
    <row r="76" spans="1:12" ht="42" customHeight="1">
      <c r="A76" s="28" t="str">
        <f>IF(ROW()-4&lt;=COUNT(Checklist!$P$3:$P$149),ROW()-4,"")</f>
        <v/>
      </c>
      <c r="B76" s="28" t="str">
        <f>IF($A76="","",INDEX(Checklist!$C$3:$C$149,MATCH($A76,Checklist!$P$3:$P$149,0)))</f>
        <v/>
      </c>
      <c r="C76" s="28" t="str">
        <f>IF($A76="","",INDEX(Checklist!$B$3:$B$149,MATCH($A76,Checklist!$P$3:$P$149,0)))</f>
        <v/>
      </c>
      <c r="D76" s="28" t="str">
        <f>IF($A76="","",IF(INDEX(Checklist!$A$3:$A$149,MATCH($A76,Checklist!$P$3:$P$149,0))=7,IFERROR(LEFT(INDEX(Checklist!$E$3:$E$149,MATCH($A76,Checklist!$P$3:$P$149,0)),FIND(CHAR(10),INDEX(Checklist!$E$3:$E$149,MATCH($A76,Checklist!$P$3:$P$149,0)))-1),INDEX(Checklist!$E$3:$E$149,MATCH($A76,Checklist!$P$3:$P$149,0))),""))</f>
        <v/>
      </c>
      <c r="E76" s="28" t="str">
        <f>IF($A76="","",INDEX(Checklist!$D$3:$D$149,MATCH($A76,Checklist!$P$3:$P$149,0)))</f>
        <v/>
      </c>
      <c r="F76" s="28" t="str">
        <f>IF($A76="","",INDEX(Checklist!$F$3:$F$149,MATCH($A76,Checklist!$P$3:$P$149,0)))</f>
        <v/>
      </c>
      <c r="G76" s="28" t="str">
        <f>IF($A76="","",IF($D76&lt;&gt;"",INDEX(Checklist!$E$3:$E$149,MATCH(LEFT($B76,3),Checklist!$C$3:$C$149,0))&amp;" - "&amp;$D76,INDEX(Checklist!$E$3:$E$149,MATCH($A76,Checklist!$P$3:$P$149,0))))</f>
        <v/>
      </c>
      <c r="H76" s="28" t="str">
        <f>IF($A76="","",INDEX(Checklist!$G$3:$G$149,MATCH($A76,Checklist!$P$3:$P$149,0)))</f>
        <v/>
      </c>
      <c r="I76" s="30" t="str">
        <f>IF($A76="","",INDEX(Checklist!$N$3:$N$149,MATCH($A76,Checklist!$P$3:$P$149,0)))</f>
        <v/>
      </c>
      <c r="J76" s="27"/>
      <c r="K76" s="27"/>
      <c r="L76" s="29"/>
    </row>
    <row r="77" spans="1:12" ht="42" customHeight="1">
      <c r="A77" s="28" t="str">
        <f>IF(ROW()-4&lt;=COUNT(Checklist!$P$3:$P$149),ROW()-4,"")</f>
        <v/>
      </c>
      <c r="B77" s="28" t="str">
        <f>IF($A77="","",INDEX(Checklist!$C$3:$C$149,MATCH($A77,Checklist!$P$3:$P$149,0)))</f>
        <v/>
      </c>
      <c r="C77" s="28" t="str">
        <f>IF($A77="","",INDEX(Checklist!$B$3:$B$149,MATCH($A77,Checklist!$P$3:$P$149,0)))</f>
        <v/>
      </c>
      <c r="D77" s="28" t="str">
        <f>IF($A77="","",IF(INDEX(Checklist!$A$3:$A$149,MATCH($A77,Checklist!$P$3:$P$149,0))=7,IFERROR(LEFT(INDEX(Checklist!$E$3:$E$149,MATCH($A77,Checklist!$P$3:$P$149,0)),FIND(CHAR(10),INDEX(Checklist!$E$3:$E$149,MATCH($A77,Checklist!$P$3:$P$149,0)))-1),INDEX(Checklist!$E$3:$E$149,MATCH($A77,Checklist!$P$3:$P$149,0))),""))</f>
        <v/>
      </c>
      <c r="E77" s="28" t="str">
        <f>IF($A77="","",INDEX(Checklist!$D$3:$D$149,MATCH($A77,Checklist!$P$3:$P$149,0)))</f>
        <v/>
      </c>
      <c r="F77" s="28" t="str">
        <f>IF($A77="","",INDEX(Checklist!$F$3:$F$149,MATCH($A77,Checklist!$P$3:$P$149,0)))</f>
        <v/>
      </c>
      <c r="G77" s="28" t="str">
        <f>IF($A77="","",IF($D77&lt;&gt;"",INDEX(Checklist!$E$3:$E$149,MATCH(LEFT($B77,3),Checklist!$C$3:$C$149,0))&amp;" - "&amp;$D77,INDEX(Checklist!$E$3:$E$149,MATCH($A77,Checklist!$P$3:$P$149,0))))</f>
        <v/>
      </c>
      <c r="H77" s="28" t="str">
        <f>IF($A77="","",INDEX(Checklist!$G$3:$G$149,MATCH($A77,Checklist!$P$3:$P$149,0)))</f>
        <v/>
      </c>
      <c r="I77" s="30" t="str">
        <f>IF($A77="","",INDEX(Checklist!$N$3:$N$149,MATCH($A77,Checklist!$P$3:$P$149,0)))</f>
        <v/>
      </c>
      <c r="J77" s="27"/>
      <c r="K77" s="27"/>
      <c r="L77" s="29"/>
    </row>
    <row r="78" spans="1:12" ht="42" customHeight="1">
      <c r="A78" s="28" t="str">
        <f>IF(ROW()-4&lt;=COUNT(Checklist!$P$3:$P$149),ROW()-4,"")</f>
        <v/>
      </c>
      <c r="B78" s="28" t="str">
        <f>IF($A78="","",INDEX(Checklist!$C$3:$C$149,MATCH($A78,Checklist!$P$3:$P$149,0)))</f>
        <v/>
      </c>
      <c r="C78" s="28" t="str">
        <f>IF($A78="","",INDEX(Checklist!$B$3:$B$149,MATCH($A78,Checklist!$P$3:$P$149,0)))</f>
        <v/>
      </c>
      <c r="D78" s="28" t="str">
        <f>IF($A78="","",IF(INDEX(Checklist!$A$3:$A$149,MATCH($A78,Checklist!$P$3:$P$149,0))=7,IFERROR(LEFT(INDEX(Checklist!$E$3:$E$149,MATCH($A78,Checklist!$P$3:$P$149,0)),FIND(CHAR(10),INDEX(Checklist!$E$3:$E$149,MATCH($A78,Checklist!$P$3:$P$149,0)))-1),INDEX(Checklist!$E$3:$E$149,MATCH($A78,Checklist!$P$3:$P$149,0))),""))</f>
        <v/>
      </c>
      <c r="E78" s="28" t="str">
        <f>IF($A78="","",INDEX(Checklist!$D$3:$D$149,MATCH($A78,Checklist!$P$3:$P$149,0)))</f>
        <v/>
      </c>
      <c r="F78" s="28" t="str">
        <f>IF($A78="","",INDEX(Checklist!$F$3:$F$149,MATCH($A78,Checklist!$P$3:$P$149,0)))</f>
        <v/>
      </c>
      <c r="G78" s="28" t="str">
        <f>IF($A78="","",IF($D78&lt;&gt;"",INDEX(Checklist!$E$3:$E$149,MATCH(LEFT($B78,3),Checklist!$C$3:$C$149,0))&amp;" - "&amp;$D78,INDEX(Checklist!$E$3:$E$149,MATCH($A78,Checklist!$P$3:$P$149,0))))</f>
        <v/>
      </c>
      <c r="H78" s="28" t="str">
        <f>IF($A78="","",INDEX(Checklist!$G$3:$G$149,MATCH($A78,Checklist!$P$3:$P$149,0)))</f>
        <v/>
      </c>
      <c r="I78" s="30" t="str">
        <f>IF($A78="","",INDEX(Checklist!$N$3:$N$149,MATCH($A78,Checklist!$P$3:$P$149,0)))</f>
        <v/>
      </c>
      <c r="J78" s="27"/>
      <c r="K78" s="27"/>
      <c r="L78" s="29"/>
    </row>
    <row r="79" spans="1:12" ht="42" customHeight="1">
      <c r="A79" s="28" t="str">
        <f>IF(ROW()-4&lt;=COUNT(Checklist!$P$3:$P$149),ROW()-4,"")</f>
        <v/>
      </c>
      <c r="B79" s="28" t="str">
        <f>IF($A79="","",INDEX(Checklist!$C$3:$C$149,MATCH($A79,Checklist!$P$3:$P$149,0)))</f>
        <v/>
      </c>
      <c r="C79" s="28" t="str">
        <f>IF($A79="","",INDEX(Checklist!$B$3:$B$149,MATCH($A79,Checklist!$P$3:$P$149,0)))</f>
        <v/>
      </c>
      <c r="D79" s="28" t="str">
        <f>IF($A79="","",IF(INDEX(Checklist!$A$3:$A$149,MATCH($A79,Checklist!$P$3:$P$149,0))=7,IFERROR(LEFT(INDEX(Checklist!$E$3:$E$149,MATCH($A79,Checklist!$P$3:$P$149,0)),FIND(CHAR(10),INDEX(Checklist!$E$3:$E$149,MATCH($A79,Checklist!$P$3:$P$149,0)))-1),INDEX(Checklist!$E$3:$E$149,MATCH($A79,Checklist!$P$3:$P$149,0))),""))</f>
        <v/>
      </c>
      <c r="E79" s="28" t="str">
        <f>IF($A79="","",INDEX(Checklist!$D$3:$D$149,MATCH($A79,Checklist!$P$3:$P$149,0)))</f>
        <v/>
      </c>
      <c r="F79" s="28" t="str">
        <f>IF($A79="","",INDEX(Checklist!$F$3:$F$149,MATCH($A79,Checklist!$P$3:$P$149,0)))</f>
        <v/>
      </c>
      <c r="G79" s="28" t="str">
        <f>IF($A79="","",IF($D79&lt;&gt;"",INDEX(Checklist!$E$3:$E$149,MATCH(LEFT($B79,3),Checklist!$C$3:$C$149,0))&amp;" - "&amp;$D79,INDEX(Checklist!$E$3:$E$149,MATCH($A79,Checklist!$P$3:$P$149,0))))</f>
        <v/>
      </c>
      <c r="H79" s="28" t="str">
        <f>IF($A79="","",INDEX(Checklist!$G$3:$G$149,MATCH($A79,Checklist!$P$3:$P$149,0)))</f>
        <v/>
      </c>
      <c r="I79" s="30" t="str">
        <f>IF($A79="","",INDEX(Checklist!$N$3:$N$149,MATCH($A79,Checklist!$P$3:$P$149,0)))</f>
        <v/>
      </c>
      <c r="J79" s="27"/>
      <c r="K79" s="27"/>
      <c r="L79" s="29"/>
    </row>
    <row r="80" spans="1:12" ht="42" customHeight="1">
      <c r="A80" s="28" t="str">
        <f>IF(ROW()-4&lt;=COUNT(Checklist!$P$3:$P$149),ROW()-4,"")</f>
        <v/>
      </c>
      <c r="B80" s="28" t="str">
        <f>IF($A80="","",INDEX(Checklist!$C$3:$C$149,MATCH($A80,Checklist!$P$3:$P$149,0)))</f>
        <v/>
      </c>
      <c r="C80" s="28" t="str">
        <f>IF($A80="","",INDEX(Checklist!$B$3:$B$149,MATCH($A80,Checklist!$P$3:$P$149,0)))</f>
        <v/>
      </c>
      <c r="D80" s="28" t="str">
        <f>IF($A80="","",IF(INDEX(Checklist!$A$3:$A$149,MATCH($A80,Checklist!$P$3:$P$149,0))=7,IFERROR(LEFT(INDEX(Checklist!$E$3:$E$149,MATCH($A80,Checklist!$P$3:$P$149,0)),FIND(CHAR(10),INDEX(Checklist!$E$3:$E$149,MATCH($A80,Checklist!$P$3:$P$149,0)))-1),INDEX(Checklist!$E$3:$E$149,MATCH($A80,Checklist!$P$3:$P$149,0))),""))</f>
        <v/>
      </c>
      <c r="E80" s="28" t="str">
        <f>IF($A80="","",INDEX(Checklist!$D$3:$D$149,MATCH($A80,Checklist!$P$3:$P$149,0)))</f>
        <v/>
      </c>
      <c r="F80" s="28" t="str">
        <f>IF($A80="","",INDEX(Checklist!$F$3:$F$149,MATCH($A80,Checklist!$P$3:$P$149,0)))</f>
        <v/>
      </c>
      <c r="G80" s="28" t="str">
        <f>IF($A80="","",IF($D80&lt;&gt;"",INDEX(Checklist!$E$3:$E$149,MATCH(LEFT($B80,3),Checklist!$C$3:$C$149,0))&amp;" - "&amp;$D80,INDEX(Checklist!$E$3:$E$149,MATCH($A80,Checklist!$P$3:$P$149,0))))</f>
        <v/>
      </c>
      <c r="H80" s="28" t="str">
        <f>IF($A80="","",INDEX(Checklist!$G$3:$G$149,MATCH($A80,Checklist!$P$3:$P$149,0)))</f>
        <v/>
      </c>
      <c r="I80" s="30" t="str">
        <f>IF($A80="","",INDEX(Checklist!$N$3:$N$149,MATCH($A80,Checklist!$P$3:$P$149,0)))</f>
        <v/>
      </c>
      <c r="J80" s="27"/>
      <c r="K80" s="27"/>
      <c r="L80" s="29"/>
    </row>
    <row r="81" spans="1:12" ht="42" customHeight="1">
      <c r="A81" s="28" t="str">
        <f>IF(ROW()-4&lt;=COUNT(Checklist!$P$3:$P$149),ROW()-4,"")</f>
        <v/>
      </c>
      <c r="B81" s="28" t="str">
        <f>IF($A81="","",INDEX(Checklist!$C$3:$C$149,MATCH($A81,Checklist!$P$3:$P$149,0)))</f>
        <v/>
      </c>
      <c r="C81" s="28" t="str">
        <f>IF($A81="","",INDEX(Checklist!$B$3:$B$149,MATCH($A81,Checklist!$P$3:$P$149,0)))</f>
        <v/>
      </c>
      <c r="D81" s="28" t="str">
        <f>IF($A81="","",IF(INDEX(Checklist!$A$3:$A$149,MATCH($A81,Checklist!$P$3:$P$149,0))=7,IFERROR(LEFT(INDEX(Checklist!$E$3:$E$149,MATCH($A81,Checklist!$P$3:$P$149,0)),FIND(CHAR(10),INDEX(Checklist!$E$3:$E$149,MATCH($A81,Checklist!$P$3:$P$149,0)))-1),INDEX(Checklist!$E$3:$E$149,MATCH($A81,Checklist!$P$3:$P$149,0))),""))</f>
        <v/>
      </c>
      <c r="E81" s="28" t="str">
        <f>IF($A81="","",INDEX(Checklist!$D$3:$D$149,MATCH($A81,Checklist!$P$3:$P$149,0)))</f>
        <v/>
      </c>
      <c r="F81" s="28" t="str">
        <f>IF($A81="","",INDEX(Checklist!$F$3:$F$149,MATCH($A81,Checklist!$P$3:$P$149,0)))</f>
        <v/>
      </c>
      <c r="G81" s="28" t="str">
        <f>IF($A81="","",IF($D81&lt;&gt;"",INDEX(Checklist!$E$3:$E$149,MATCH(LEFT($B81,3),Checklist!$C$3:$C$149,0))&amp;" - "&amp;$D81,INDEX(Checklist!$E$3:$E$149,MATCH($A81,Checklist!$P$3:$P$149,0))))</f>
        <v/>
      </c>
      <c r="H81" s="28" t="str">
        <f>IF($A81="","",INDEX(Checklist!$G$3:$G$149,MATCH($A81,Checklist!$P$3:$P$149,0)))</f>
        <v/>
      </c>
      <c r="I81" s="30" t="str">
        <f>IF($A81="","",INDEX(Checklist!$N$3:$N$149,MATCH($A81,Checklist!$P$3:$P$149,0)))</f>
        <v/>
      </c>
      <c r="J81" s="27"/>
      <c r="K81" s="27"/>
      <c r="L81" s="29"/>
    </row>
    <row r="82" spans="1:12" ht="42" customHeight="1">
      <c r="A82" s="28" t="str">
        <f>IF(ROW()-4&lt;=COUNT(Checklist!$P$3:$P$149),ROW()-4,"")</f>
        <v/>
      </c>
      <c r="B82" s="28" t="str">
        <f>IF($A82="","",INDEX(Checklist!$C$3:$C$149,MATCH($A82,Checklist!$P$3:$P$149,0)))</f>
        <v/>
      </c>
      <c r="C82" s="28" t="str">
        <f>IF($A82="","",INDEX(Checklist!$B$3:$B$149,MATCH($A82,Checklist!$P$3:$P$149,0)))</f>
        <v/>
      </c>
      <c r="D82" s="28" t="str">
        <f>IF($A82="","",IF(INDEX(Checklist!$A$3:$A$149,MATCH($A82,Checklist!$P$3:$P$149,0))=7,IFERROR(LEFT(INDEX(Checklist!$E$3:$E$149,MATCH($A82,Checklist!$P$3:$P$149,0)),FIND(CHAR(10),INDEX(Checklist!$E$3:$E$149,MATCH($A82,Checklist!$P$3:$P$149,0)))-1),INDEX(Checklist!$E$3:$E$149,MATCH($A82,Checklist!$P$3:$P$149,0))),""))</f>
        <v/>
      </c>
      <c r="E82" s="28" t="str">
        <f>IF($A82="","",INDEX(Checklist!$D$3:$D$149,MATCH($A82,Checklist!$P$3:$P$149,0)))</f>
        <v/>
      </c>
      <c r="F82" s="28" t="str">
        <f>IF($A82="","",INDEX(Checklist!$F$3:$F$149,MATCH($A82,Checklist!$P$3:$P$149,0)))</f>
        <v/>
      </c>
      <c r="G82" s="28" t="str">
        <f>IF($A82="","",IF($D82&lt;&gt;"",INDEX(Checklist!$E$3:$E$149,MATCH(LEFT($B82,3),Checklist!$C$3:$C$149,0))&amp;" - "&amp;$D82,INDEX(Checklist!$E$3:$E$149,MATCH($A82,Checklist!$P$3:$P$149,0))))</f>
        <v/>
      </c>
      <c r="H82" s="28" t="str">
        <f>IF($A82="","",INDEX(Checklist!$G$3:$G$149,MATCH($A82,Checklist!$P$3:$P$149,0)))</f>
        <v/>
      </c>
      <c r="I82" s="30" t="str">
        <f>IF($A82="","",INDEX(Checklist!$N$3:$N$149,MATCH($A82,Checklist!$P$3:$P$149,0)))</f>
        <v/>
      </c>
      <c r="J82" s="27"/>
      <c r="K82" s="27"/>
      <c r="L82" s="29"/>
    </row>
    <row r="83" spans="1:12" ht="42" customHeight="1">
      <c r="A83" s="28" t="str">
        <f>IF(ROW()-4&lt;=COUNT(Checklist!$P$3:$P$149),ROW()-4,"")</f>
        <v/>
      </c>
      <c r="B83" s="28" t="str">
        <f>IF($A83="","",INDEX(Checklist!$C$3:$C$149,MATCH($A83,Checklist!$P$3:$P$149,0)))</f>
        <v/>
      </c>
      <c r="C83" s="28" t="str">
        <f>IF($A83="","",INDEX(Checklist!$B$3:$B$149,MATCH($A83,Checklist!$P$3:$P$149,0)))</f>
        <v/>
      </c>
      <c r="D83" s="28" t="str">
        <f>IF($A83="","",IF(INDEX(Checklist!$A$3:$A$149,MATCH($A83,Checklist!$P$3:$P$149,0))=7,IFERROR(LEFT(INDEX(Checklist!$E$3:$E$149,MATCH($A83,Checklist!$P$3:$P$149,0)),FIND(CHAR(10),INDEX(Checklist!$E$3:$E$149,MATCH($A83,Checklist!$P$3:$P$149,0)))-1),INDEX(Checklist!$E$3:$E$149,MATCH($A83,Checklist!$P$3:$P$149,0))),""))</f>
        <v/>
      </c>
      <c r="E83" s="28" t="str">
        <f>IF($A83="","",INDEX(Checklist!$D$3:$D$149,MATCH($A83,Checklist!$P$3:$P$149,0)))</f>
        <v/>
      </c>
      <c r="F83" s="28" t="str">
        <f>IF($A83="","",INDEX(Checklist!$F$3:$F$149,MATCH($A83,Checklist!$P$3:$P$149,0)))</f>
        <v/>
      </c>
      <c r="G83" s="28" t="str">
        <f>IF($A83="","",IF($D83&lt;&gt;"",INDEX(Checklist!$E$3:$E$149,MATCH(LEFT($B83,3),Checklist!$C$3:$C$149,0))&amp;" - "&amp;$D83,INDEX(Checklist!$E$3:$E$149,MATCH($A83,Checklist!$P$3:$P$149,0))))</f>
        <v/>
      </c>
      <c r="H83" s="28" t="str">
        <f>IF($A83="","",INDEX(Checklist!$G$3:$G$149,MATCH($A83,Checklist!$P$3:$P$149,0)))</f>
        <v/>
      </c>
      <c r="I83" s="30" t="str">
        <f>IF($A83="","",INDEX(Checklist!$N$3:$N$149,MATCH($A83,Checklist!$P$3:$P$149,0)))</f>
        <v/>
      </c>
      <c r="J83" s="27"/>
      <c r="K83" s="27"/>
      <c r="L83" s="29"/>
    </row>
    <row r="84" spans="1:12" ht="42" customHeight="1">
      <c r="A84" s="28" t="str">
        <f>IF(ROW()-4&lt;=COUNT(Checklist!$P$3:$P$149),ROW()-4,"")</f>
        <v/>
      </c>
      <c r="B84" s="28" t="str">
        <f>IF($A84="","",INDEX(Checklist!$C$3:$C$149,MATCH($A84,Checklist!$P$3:$P$149,0)))</f>
        <v/>
      </c>
      <c r="C84" s="28" t="str">
        <f>IF($A84="","",INDEX(Checklist!$B$3:$B$149,MATCH($A84,Checklist!$P$3:$P$149,0)))</f>
        <v/>
      </c>
      <c r="D84" s="28" t="str">
        <f>IF($A84="","",IF(INDEX(Checklist!$A$3:$A$149,MATCH($A84,Checklist!$P$3:$P$149,0))=7,IFERROR(LEFT(INDEX(Checklist!$E$3:$E$149,MATCH($A84,Checklist!$P$3:$P$149,0)),FIND(CHAR(10),INDEX(Checklist!$E$3:$E$149,MATCH($A84,Checklist!$P$3:$P$149,0)))-1),INDEX(Checklist!$E$3:$E$149,MATCH($A84,Checklist!$P$3:$P$149,0))),""))</f>
        <v/>
      </c>
      <c r="E84" s="28" t="str">
        <f>IF($A84="","",INDEX(Checklist!$D$3:$D$149,MATCH($A84,Checklist!$P$3:$P$149,0)))</f>
        <v/>
      </c>
      <c r="F84" s="28" t="str">
        <f>IF($A84="","",INDEX(Checklist!$F$3:$F$149,MATCH($A84,Checklist!$P$3:$P$149,0)))</f>
        <v/>
      </c>
      <c r="G84" s="28" t="str">
        <f>IF($A84="","",IF($D84&lt;&gt;"",INDEX(Checklist!$E$3:$E$149,MATCH(LEFT($B84,3),Checklist!$C$3:$C$149,0))&amp;" - "&amp;$D84,INDEX(Checklist!$E$3:$E$149,MATCH($A84,Checklist!$P$3:$P$149,0))))</f>
        <v/>
      </c>
      <c r="H84" s="28" t="str">
        <f>IF($A84="","",INDEX(Checklist!$G$3:$G$149,MATCH($A84,Checklist!$P$3:$P$149,0)))</f>
        <v/>
      </c>
      <c r="I84" s="30" t="str">
        <f>IF($A84="","",INDEX(Checklist!$N$3:$N$149,MATCH($A84,Checklist!$P$3:$P$149,0)))</f>
        <v/>
      </c>
      <c r="J84" s="27"/>
      <c r="K84" s="27"/>
      <c r="L84" s="29"/>
    </row>
    <row r="85" spans="1:12" ht="42" customHeight="1">
      <c r="A85" s="28" t="str">
        <f>IF(ROW()-4&lt;=COUNT(Checklist!$P$3:$P$149),ROW()-4,"")</f>
        <v/>
      </c>
      <c r="B85" s="28" t="str">
        <f>IF($A85="","",INDEX(Checklist!$C$3:$C$149,MATCH($A85,Checklist!$P$3:$P$149,0)))</f>
        <v/>
      </c>
      <c r="C85" s="28" t="str">
        <f>IF($A85="","",INDEX(Checklist!$B$3:$B$149,MATCH($A85,Checklist!$P$3:$P$149,0)))</f>
        <v/>
      </c>
      <c r="D85" s="28" t="str">
        <f>IF($A85="","",IF(INDEX(Checklist!$A$3:$A$149,MATCH($A85,Checklist!$P$3:$P$149,0))=7,IFERROR(LEFT(INDEX(Checklist!$E$3:$E$149,MATCH($A85,Checklist!$P$3:$P$149,0)),FIND(CHAR(10),INDEX(Checklist!$E$3:$E$149,MATCH($A85,Checklist!$P$3:$P$149,0)))-1),INDEX(Checklist!$E$3:$E$149,MATCH($A85,Checklist!$P$3:$P$149,0))),""))</f>
        <v/>
      </c>
      <c r="E85" s="28" t="str">
        <f>IF($A85="","",INDEX(Checklist!$D$3:$D$149,MATCH($A85,Checklist!$P$3:$P$149,0)))</f>
        <v/>
      </c>
      <c r="F85" s="28" t="str">
        <f>IF($A85="","",INDEX(Checklist!$F$3:$F$149,MATCH($A85,Checklist!$P$3:$P$149,0)))</f>
        <v/>
      </c>
      <c r="G85" s="28" t="str">
        <f>IF($A85="","",IF($D85&lt;&gt;"",INDEX(Checklist!$E$3:$E$149,MATCH(LEFT($B85,3),Checklist!$C$3:$C$149,0))&amp;" - "&amp;$D85,INDEX(Checklist!$E$3:$E$149,MATCH($A85,Checklist!$P$3:$P$149,0))))</f>
        <v/>
      </c>
      <c r="H85" s="28" t="str">
        <f>IF($A85="","",INDEX(Checklist!$G$3:$G$149,MATCH($A85,Checklist!$P$3:$P$149,0)))</f>
        <v/>
      </c>
      <c r="I85" s="30" t="str">
        <f>IF($A85="","",INDEX(Checklist!$N$3:$N$149,MATCH($A85,Checklist!$P$3:$P$149,0)))</f>
        <v/>
      </c>
      <c r="J85" s="27"/>
      <c r="K85" s="27"/>
      <c r="L85" s="29"/>
    </row>
    <row r="86" spans="1:12" ht="42" customHeight="1">
      <c r="A86" s="28" t="str">
        <f>IF(ROW()-4&lt;=COUNT(Checklist!$P$3:$P$149),ROW()-4,"")</f>
        <v/>
      </c>
      <c r="B86" s="28" t="str">
        <f>IF($A86="","",INDEX(Checklist!$C$3:$C$149,MATCH($A86,Checklist!$P$3:$P$149,0)))</f>
        <v/>
      </c>
      <c r="C86" s="28" t="str">
        <f>IF($A86="","",INDEX(Checklist!$B$3:$B$149,MATCH($A86,Checklist!$P$3:$P$149,0)))</f>
        <v/>
      </c>
      <c r="D86" s="28" t="str">
        <f>IF($A86="","",IF(INDEX(Checklist!$A$3:$A$149,MATCH($A86,Checklist!$P$3:$P$149,0))=7,IFERROR(LEFT(INDEX(Checklist!$E$3:$E$149,MATCH($A86,Checklist!$P$3:$P$149,0)),FIND(CHAR(10),INDEX(Checklist!$E$3:$E$149,MATCH($A86,Checklist!$P$3:$P$149,0)))-1),INDEX(Checklist!$E$3:$E$149,MATCH($A86,Checklist!$P$3:$P$149,0))),""))</f>
        <v/>
      </c>
      <c r="E86" s="28" t="str">
        <f>IF($A86="","",INDEX(Checklist!$D$3:$D$149,MATCH($A86,Checklist!$P$3:$P$149,0)))</f>
        <v/>
      </c>
      <c r="F86" s="28" t="str">
        <f>IF($A86="","",INDEX(Checklist!$F$3:$F$149,MATCH($A86,Checklist!$P$3:$P$149,0)))</f>
        <v/>
      </c>
      <c r="G86" s="28" t="str">
        <f>IF($A86="","",IF($D86&lt;&gt;"",INDEX(Checklist!$E$3:$E$149,MATCH(LEFT($B86,3),Checklist!$C$3:$C$149,0))&amp;" - "&amp;$D86,INDEX(Checklist!$E$3:$E$149,MATCH($A86,Checklist!$P$3:$P$149,0))))</f>
        <v/>
      </c>
      <c r="H86" s="28" t="str">
        <f>IF($A86="","",INDEX(Checklist!$G$3:$G$149,MATCH($A86,Checklist!$P$3:$P$149,0)))</f>
        <v/>
      </c>
      <c r="I86" s="30" t="str">
        <f>IF($A86="","",INDEX(Checklist!$N$3:$N$149,MATCH($A86,Checklist!$P$3:$P$149,0)))</f>
        <v/>
      </c>
      <c r="J86" s="27"/>
      <c r="K86" s="27"/>
      <c r="L86" s="29"/>
    </row>
    <row r="87" spans="1:12" ht="42" customHeight="1">
      <c r="A87" s="28" t="str">
        <f>IF(ROW()-4&lt;=COUNT(Checklist!$P$3:$P$149),ROW()-4,"")</f>
        <v/>
      </c>
      <c r="B87" s="28" t="str">
        <f>IF($A87="","",INDEX(Checklist!$C$3:$C$149,MATCH($A87,Checklist!$P$3:$P$149,0)))</f>
        <v/>
      </c>
      <c r="C87" s="28" t="str">
        <f>IF($A87="","",INDEX(Checklist!$B$3:$B$149,MATCH($A87,Checklist!$P$3:$P$149,0)))</f>
        <v/>
      </c>
      <c r="D87" s="28" t="str">
        <f>IF($A87="","",IF(INDEX(Checklist!$A$3:$A$149,MATCH($A87,Checklist!$P$3:$P$149,0))=7,IFERROR(LEFT(INDEX(Checklist!$E$3:$E$149,MATCH($A87,Checklist!$P$3:$P$149,0)),FIND(CHAR(10),INDEX(Checklist!$E$3:$E$149,MATCH($A87,Checklist!$P$3:$P$149,0)))-1),INDEX(Checklist!$E$3:$E$149,MATCH($A87,Checklist!$P$3:$P$149,0))),""))</f>
        <v/>
      </c>
      <c r="E87" s="28" t="str">
        <f>IF($A87="","",INDEX(Checklist!$D$3:$D$149,MATCH($A87,Checklist!$P$3:$P$149,0)))</f>
        <v/>
      </c>
      <c r="F87" s="28" t="str">
        <f>IF($A87="","",INDEX(Checklist!$F$3:$F$149,MATCH($A87,Checklist!$P$3:$P$149,0)))</f>
        <v/>
      </c>
      <c r="G87" s="28" t="str">
        <f>IF($A87="","",IF($D87&lt;&gt;"",INDEX(Checklist!$E$3:$E$149,MATCH(LEFT($B87,3),Checklist!$C$3:$C$149,0))&amp;" - "&amp;$D87,INDEX(Checklist!$E$3:$E$149,MATCH($A87,Checklist!$P$3:$P$149,0))))</f>
        <v/>
      </c>
      <c r="H87" s="28" t="str">
        <f>IF($A87="","",INDEX(Checklist!$G$3:$G$149,MATCH($A87,Checklist!$P$3:$P$149,0)))</f>
        <v/>
      </c>
      <c r="I87" s="30" t="str">
        <f>IF($A87="","",INDEX(Checklist!$N$3:$N$149,MATCH($A87,Checklist!$P$3:$P$149,0)))</f>
        <v/>
      </c>
      <c r="J87" s="27"/>
      <c r="K87" s="27"/>
      <c r="L87" s="29"/>
    </row>
    <row r="88" spans="1:12" ht="42" customHeight="1">
      <c r="A88" s="28" t="str">
        <f>IF(ROW()-4&lt;=COUNT(Checklist!$P$3:$P$149),ROW()-4,"")</f>
        <v/>
      </c>
      <c r="B88" s="28" t="str">
        <f>IF($A88="","",INDEX(Checklist!$C$3:$C$149,MATCH($A88,Checklist!$P$3:$P$149,0)))</f>
        <v/>
      </c>
      <c r="C88" s="28" t="str">
        <f>IF($A88="","",INDEX(Checklist!$B$3:$B$149,MATCH($A88,Checklist!$P$3:$P$149,0)))</f>
        <v/>
      </c>
      <c r="D88" s="28" t="str">
        <f>IF($A88="","",IF(INDEX(Checklist!$A$3:$A$149,MATCH($A88,Checklist!$P$3:$P$149,0))=7,IFERROR(LEFT(INDEX(Checklist!$E$3:$E$149,MATCH($A88,Checklist!$P$3:$P$149,0)),FIND(CHAR(10),INDEX(Checklist!$E$3:$E$149,MATCH($A88,Checklist!$P$3:$P$149,0)))-1),INDEX(Checklist!$E$3:$E$149,MATCH($A88,Checklist!$P$3:$P$149,0))),""))</f>
        <v/>
      </c>
      <c r="E88" s="28" t="str">
        <f>IF($A88="","",INDEX(Checklist!$D$3:$D$149,MATCH($A88,Checklist!$P$3:$P$149,0)))</f>
        <v/>
      </c>
      <c r="F88" s="28" t="str">
        <f>IF($A88="","",INDEX(Checklist!$F$3:$F$149,MATCH($A88,Checklist!$P$3:$P$149,0)))</f>
        <v/>
      </c>
      <c r="G88" s="28" t="str">
        <f>IF($A88="","",IF($D88&lt;&gt;"",INDEX(Checklist!$E$3:$E$149,MATCH(LEFT($B88,3),Checklist!$C$3:$C$149,0))&amp;" - "&amp;$D88,INDEX(Checklist!$E$3:$E$149,MATCH($A88,Checklist!$P$3:$P$149,0))))</f>
        <v/>
      </c>
      <c r="H88" s="28" t="str">
        <f>IF($A88="","",INDEX(Checklist!$G$3:$G$149,MATCH($A88,Checklist!$P$3:$P$149,0)))</f>
        <v/>
      </c>
      <c r="I88" s="30" t="str">
        <f>IF($A88="","",INDEX(Checklist!$N$3:$N$149,MATCH($A88,Checklist!$P$3:$P$149,0)))</f>
        <v/>
      </c>
      <c r="J88" s="27"/>
      <c r="K88" s="27"/>
      <c r="L88" s="29"/>
    </row>
    <row r="89" spans="1:12" ht="42" customHeight="1">
      <c r="A89" s="28" t="str">
        <f>IF(ROW()-4&lt;=COUNT(Checklist!$P$3:$P$149),ROW()-4,"")</f>
        <v/>
      </c>
      <c r="B89" s="28" t="str">
        <f>IF($A89="","",INDEX(Checklist!$C$3:$C$149,MATCH($A89,Checklist!$P$3:$P$149,0)))</f>
        <v/>
      </c>
      <c r="C89" s="28" t="str">
        <f>IF($A89="","",INDEX(Checklist!$B$3:$B$149,MATCH($A89,Checklist!$P$3:$P$149,0)))</f>
        <v/>
      </c>
      <c r="D89" s="28" t="str">
        <f>IF($A89="","",IF(INDEX(Checklist!$A$3:$A$149,MATCH($A89,Checklist!$P$3:$P$149,0))=7,IFERROR(LEFT(INDEX(Checklist!$E$3:$E$149,MATCH($A89,Checklist!$P$3:$P$149,0)),FIND(CHAR(10),INDEX(Checklist!$E$3:$E$149,MATCH($A89,Checklist!$P$3:$P$149,0)))-1),INDEX(Checklist!$E$3:$E$149,MATCH($A89,Checklist!$P$3:$P$149,0))),""))</f>
        <v/>
      </c>
      <c r="E89" s="28" t="str">
        <f>IF($A89="","",INDEX(Checklist!$D$3:$D$149,MATCH($A89,Checklist!$P$3:$P$149,0)))</f>
        <v/>
      </c>
      <c r="F89" s="28" t="str">
        <f>IF($A89="","",INDEX(Checklist!$F$3:$F$149,MATCH($A89,Checklist!$P$3:$P$149,0)))</f>
        <v/>
      </c>
      <c r="G89" s="28" t="str">
        <f>IF($A89="","",IF($D89&lt;&gt;"",INDEX(Checklist!$E$3:$E$149,MATCH(LEFT($B89,3),Checklist!$C$3:$C$149,0))&amp;" - "&amp;$D89,INDEX(Checklist!$E$3:$E$149,MATCH($A89,Checklist!$P$3:$P$149,0))))</f>
        <v/>
      </c>
      <c r="H89" s="28" t="str">
        <f>IF($A89="","",INDEX(Checklist!$G$3:$G$149,MATCH($A89,Checklist!$P$3:$P$149,0)))</f>
        <v/>
      </c>
      <c r="I89" s="30" t="str">
        <f>IF($A89="","",INDEX(Checklist!$N$3:$N$149,MATCH($A89,Checklist!$P$3:$P$149,0)))</f>
        <v/>
      </c>
      <c r="J89" s="27"/>
      <c r="K89" s="27"/>
      <c r="L89" s="29"/>
    </row>
    <row r="90" spans="1:12" ht="42" customHeight="1">
      <c r="A90" s="28" t="str">
        <f>IF(ROW()-4&lt;=COUNT(Checklist!$P$3:$P$149),ROW()-4,"")</f>
        <v/>
      </c>
      <c r="B90" s="28" t="str">
        <f>IF($A90="","",INDEX(Checklist!$C$3:$C$149,MATCH($A90,Checklist!$P$3:$P$149,0)))</f>
        <v/>
      </c>
      <c r="C90" s="28" t="str">
        <f>IF($A90="","",INDEX(Checklist!$B$3:$B$149,MATCH($A90,Checklist!$P$3:$P$149,0)))</f>
        <v/>
      </c>
      <c r="D90" s="28" t="str">
        <f>IF($A90="","",IF(INDEX(Checklist!$A$3:$A$149,MATCH($A90,Checklist!$P$3:$P$149,0))=7,IFERROR(LEFT(INDEX(Checklist!$E$3:$E$149,MATCH($A90,Checklist!$P$3:$P$149,0)),FIND(CHAR(10),INDEX(Checklist!$E$3:$E$149,MATCH($A90,Checklist!$P$3:$P$149,0)))-1),INDEX(Checklist!$E$3:$E$149,MATCH($A90,Checklist!$P$3:$P$149,0))),""))</f>
        <v/>
      </c>
      <c r="E90" s="28" t="str">
        <f>IF($A90="","",INDEX(Checklist!$D$3:$D$149,MATCH($A90,Checklist!$P$3:$P$149,0)))</f>
        <v/>
      </c>
      <c r="F90" s="28" t="str">
        <f>IF($A90="","",INDEX(Checklist!$F$3:$F$149,MATCH($A90,Checklist!$P$3:$P$149,0)))</f>
        <v/>
      </c>
      <c r="G90" s="28" t="str">
        <f>IF($A90="","",IF($D90&lt;&gt;"",INDEX(Checklist!$E$3:$E$149,MATCH(LEFT($B90,3),Checklist!$C$3:$C$149,0))&amp;" - "&amp;$D90,INDEX(Checklist!$E$3:$E$149,MATCH($A90,Checklist!$P$3:$P$149,0))))</f>
        <v/>
      </c>
      <c r="H90" s="28" t="str">
        <f>IF($A90="","",INDEX(Checklist!$G$3:$G$149,MATCH($A90,Checklist!$P$3:$P$149,0)))</f>
        <v/>
      </c>
      <c r="I90" s="30" t="str">
        <f>IF($A90="","",INDEX(Checklist!$N$3:$N$149,MATCH($A90,Checklist!$P$3:$P$149,0)))</f>
        <v/>
      </c>
      <c r="J90" s="27"/>
      <c r="K90" s="27"/>
      <c r="L90" s="29"/>
    </row>
    <row r="91" spans="1:12" ht="42" customHeight="1">
      <c r="A91" s="28" t="str">
        <f>IF(ROW()-4&lt;=COUNT(Checklist!$P$3:$P$149),ROW()-4,"")</f>
        <v/>
      </c>
      <c r="B91" s="28" t="str">
        <f>IF($A91="","",INDEX(Checklist!$C$3:$C$149,MATCH($A91,Checklist!$P$3:$P$149,0)))</f>
        <v/>
      </c>
      <c r="C91" s="28" t="str">
        <f>IF($A91="","",INDEX(Checklist!$B$3:$B$149,MATCH($A91,Checklist!$P$3:$P$149,0)))</f>
        <v/>
      </c>
      <c r="D91" s="28" t="str">
        <f>IF($A91="","",IF(INDEX(Checklist!$A$3:$A$149,MATCH($A91,Checklist!$P$3:$P$149,0))=7,IFERROR(LEFT(INDEX(Checklist!$E$3:$E$149,MATCH($A91,Checklist!$P$3:$P$149,0)),FIND(CHAR(10),INDEX(Checklist!$E$3:$E$149,MATCH($A91,Checklist!$P$3:$P$149,0)))-1),INDEX(Checklist!$E$3:$E$149,MATCH($A91,Checklist!$P$3:$P$149,0))),""))</f>
        <v/>
      </c>
      <c r="E91" s="28" t="str">
        <f>IF($A91="","",INDEX(Checklist!$D$3:$D$149,MATCH($A91,Checklist!$P$3:$P$149,0)))</f>
        <v/>
      </c>
      <c r="F91" s="28" t="str">
        <f>IF($A91="","",INDEX(Checklist!$F$3:$F$149,MATCH($A91,Checklist!$P$3:$P$149,0)))</f>
        <v/>
      </c>
      <c r="G91" s="28" t="str">
        <f>IF($A91="","",IF($D91&lt;&gt;"",INDEX(Checklist!$E$3:$E$149,MATCH(LEFT($B91,3),Checklist!$C$3:$C$149,0))&amp;" - "&amp;$D91,INDEX(Checklist!$E$3:$E$149,MATCH($A91,Checklist!$P$3:$P$149,0))))</f>
        <v/>
      </c>
      <c r="H91" s="28" t="str">
        <f>IF($A91="","",INDEX(Checklist!$G$3:$G$149,MATCH($A91,Checklist!$P$3:$P$149,0)))</f>
        <v/>
      </c>
      <c r="I91" s="30" t="str">
        <f>IF($A91="","",INDEX(Checklist!$N$3:$N$149,MATCH($A91,Checklist!$P$3:$P$149,0)))</f>
        <v/>
      </c>
      <c r="J91" s="27"/>
      <c r="K91" s="27"/>
      <c r="L91" s="29"/>
    </row>
    <row r="92" spans="1:12" ht="42" customHeight="1">
      <c r="A92" s="28" t="str">
        <f>IF(ROW()-4&lt;=COUNT(Checklist!$P$3:$P$149),ROW()-4,"")</f>
        <v/>
      </c>
      <c r="B92" s="28" t="str">
        <f>IF($A92="","",INDEX(Checklist!$C$3:$C$149,MATCH($A92,Checklist!$P$3:$P$149,0)))</f>
        <v/>
      </c>
      <c r="C92" s="28" t="str">
        <f>IF($A92="","",INDEX(Checklist!$B$3:$B$149,MATCH($A92,Checklist!$P$3:$P$149,0)))</f>
        <v/>
      </c>
      <c r="D92" s="28" t="str">
        <f>IF($A92="","",IF(INDEX(Checklist!$A$3:$A$149,MATCH($A92,Checklist!$P$3:$P$149,0))=7,IFERROR(LEFT(INDEX(Checklist!$E$3:$E$149,MATCH($A92,Checklist!$P$3:$P$149,0)),FIND(CHAR(10),INDEX(Checklist!$E$3:$E$149,MATCH($A92,Checklist!$P$3:$P$149,0)))-1),INDEX(Checklist!$E$3:$E$149,MATCH($A92,Checklist!$P$3:$P$149,0))),""))</f>
        <v/>
      </c>
      <c r="E92" s="28" t="str">
        <f>IF($A92="","",INDEX(Checklist!$D$3:$D$149,MATCH($A92,Checklist!$P$3:$P$149,0)))</f>
        <v/>
      </c>
      <c r="F92" s="28" t="str">
        <f>IF($A92="","",INDEX(Checklist!$F$3:$F$149,MATCH($A92,Checklist!$P$3:$P$149,0)))</f>
        <v/>
      </c>
      <c r="G92" s="28" t="str">
        <f>IF($A92="","",IF($D92&lt;&gt;"",INDEX(Checklist!$E$3:$E$149,MATCH(LEFT($B92,3),Checklist!$C$3:$C$149,0))&amp;" - "&amp;$D92,INDEX(Checklist!$E$3:$E$149,MATCH($A92,Checklist!$P$3:$P$149,0))))</f>
        <v/>
      </c>
      <c r="H92" s="28" t="str">
        <f>IF($A92="","",INDEX(Checklist!$G$3:$G$149,MATCH($A92,Checklist!$P$3:$P$149,0)))</f>
        <v/>
      </c>
      <c r="I92" s="30" t="str">
        <f>IF($A92="","",INDEX(Checklist!$N$3:$N$149,MATCH($A92,Checklist!$P$3:$P$149,0)))</f>
        <v/>
      </c>
      <c r="J92" s="27"/>
      <c r="K92" s="27"/>
      <c r="L92" s="29"/>
    </row>
    <row r="93" spans="1:12" ht="42" customHeight="1">
      <c r="A93" s="28" t="str">
        <f>IF(ROW()-4&lt;=COUNT(Checklist!$P$3:$P$149),ROW()-4,"")</f>
        <v/>
      </c>
      <c r="B93" s="28" t="str">
        <f>IF($A93="","",INDEX(Checklist!$C$3:$C$149,MATCH($A93,Checklist!$P$3:$P$149,0)))</f>
        <v/>
      </c>
      <c r="C93" s="28" t="str">
        <f>IF($A93="","",INDEX(Checklist!$B$3:$B$149,MATCH($A93,Checklist!$P$3:$P$149,0)))</f>
        <v/>
      </c>
      <c r="D93" s="28" t="str">
        <f>IF($A93="","",IF(INDEX(Checklist!$A$3:$A$149,MATCH($A93,Checklist!$P$3:$P$149,0))=7,IFERROR(LEFT(INDEX(Checklist!$E$3:$E$149,MATCH($A93,Checklist!$P$3:$P$149,0)),FIND(CHAR(10),INDEX(Checklist!$E$3:$E$149,MATCH($A93,Checklist!$P$3:$P$149,0)))-1),INDEX(Checklist!$E$3:$E$149,MATCH($A93,Checklist!$P$3:$P$149,0))),""))</f>
        <v/>
      </c>
      <c r="E93" s="28" t="str">
        <f>IF($A93="","",INDEX(Checklist!$D$3:$D$149,MATCH($A93,Checklist!$P$3:$P$149,0)))</f>
        <v/>
      </c>
      <c r="F93" s="28" t="str">
        <f>IF($A93="","",INDEX(Checklist!$F$3:$F$149,MATCH($A93,Checklist!$P$3:$P$149,0)))</f>
        <v/>
      </c>
      <c r="G93" s="28" t="str">
        <f>IF($A93="","",IF($D93&lt;&gt;"",INDEX(Checklist!$E$3:$E$149,MATCH(LEFT($B93,3),Checklist!$C$3:$C$149,0))&amp;" - "&amp;$D93,INDEX(Checklist!$E$3:$E$149,MATCH($A93,Checklist!$P$3:$P$149,0))))</f>
        <v/>
      </c>
      <c r="H93" s="28" t="str">
        <f>IF($A93="","",INDEX(Checklist!$G$3:$G$149,MATCH($A93,Checklist!$P$3:$P$149,0)))</f>
        <v/>
      </c>
      <c r="I93" s="30" t="str">
        <f>IF($A93="","",INDEX(Checklist!$N$3:$N$149,MATCH($A93,Checklist!$P$3:$P$149,0)))</f>
        <v/>
      </c>
      <c r="J93" s="27"/>
      <c r="K93" s="27"/>
      <c r="L93" s="29"/>
    </row>
    <row r="94" spans="1:12" ht="42" customHeight="1">
      <c r="A94" s="28" t="str">
        <f>IF(ROW()-4&lt;=COUNT(Checklist!$P$3:$P$149),ROW()-4,"")</f>
        <v/>
      </c>
      <c r="B94" s="28" t="str">
        <f>IF($A94="","",INDEX(Checklist!$C$3:$C$149,MATCH($A94,Checklist!$P$3:$P$149,0)))</f>
        <v/>
      </c>
      <c r="C94" s="28" t="str">
        <f>IF($A94="","",INDEX(Checklist!$B$3:$B$149,MATCH($A94,Checklist!$P$3:$P$149,0)))</f>
        <v/>
      </c>
      <c r="D94" s="28" t="str">
        <f>IF($A94="","",IF(INDEX(Checklist!$A$3:$A$149,MATCH($A94,Checklist!$P$3:$P$149,0))=7,IFERROR(LEFT(INDEX(Checklist!$E$3:$E$149,MATCH($A94,Checklist!$P$3:$P$149,0)),FIND(CHAR(10),INDEX(Checklist!$E$3:$E$149,MATCH($A94,Checklist!$P$3:$P$149,0)))-1),INDEX(Checklist!$E$3:$E$149,MATCH($A94,Checklist!$P$3:$P$149,0))),""))</f>
        <v/>
      </c>
      <c r="E94" s="28" t="str">
        <f>IF($A94="","",INDEX(Checklist!$D$3:$D$149,MATCH($A94,Checklist!$P$3:$P$149,0)))</f>
        <v/>
      </c>
      <c r="F94" s="28" t="str">
        <f>IF($A94="","",INDEX(Checklist!$F$3:$F$149,MATCH($A94,Checklist!$P$3:$P$149,0)))</f>
        <v/>
      </c>
      <c r="G94" s="28" t="str">
        <f>IF($A94="","",IF($D94&lt;&gt;"",INDEX(Checklist!$E$3:$E$149,MATCH(LEFT($B94,3),Checklist!$C$3:$C$149,0))&amp;" - "&amp;$D94,INDEX(Checklist!$E$3:$E$149,MATCH($A94,Checklist!$P$3:$P$149,0))))</f>
        <v/>
      </c>
      <c r="H94" s="28" t="str">
        <f>IF($A94="","",INDEX(Checklist!$G$3:$G$149,MATCH($A94,Checklist!$P$3:$P$149,0)))</f>
        <v/>
      </c>
      <c r="I94" s="30" t="str">
        <f>IF($A94="","",INDEX(Checklist!$N$3:$N$149,MATCH($A94,Checklist!$P$3:$P$149,0)))</f>
        <v/>
      </c>
      <c r="J94" s="27"/>
      <c r="K94" s="27"/>
      <c r="L94" s="29"/>
    </row>
    <row r="95" spans="1:12" ht="42" customHeight="1">
      <c r="A95" s="28" t="str">
        <f>IF(ROW()-4&lt;=COUNT(Checklist!$P$3:$P$149),ROW()-4,"")</f>
        <v/>
      </c>
      <c r="B95" s="28" t="str">
        <f>IF($A95="","",INDEX(Checklist!$C$3:$C$149,MATCH($A95,Checklist!$P$3:$P$149,0)))</f>
        <v/>
      </c>
      <c r="C95" s="28" t="str">
        <f>IF($A95="","",INDEX(Checklist!$B$3:$B$149,MATCH($A95,Checklist!$P$3:$P$149,0)))</f>
        <v/>
      </c>
      <c r="D95" s="28" t="str">
        <f>IF($A95="","",IF(INDEX(Checklist!$A$3:$A$149,MATCH($A95,Checklist!$P$3:$P$149,0))=7,IFERROR(LEFT(INDEX(Checklist!$E$3:$E$149,MATCH($A95,Checklist!$P$3:$P$149,0)),FIND(CHAR(10),INDEX(Checklist!$E$3:$E$149,MATCH($A95,Checklist!$P$3:$P$149,0)))-1),INDEX(Checklist!$E$3:$E$149,MATCH($A95,Checklist!$P$3:$P$149,0))),""))</f>
        <v/>
      </c>
      <c r="E95" s="28" t="str">
        <f>IF($A95="","",INDEX(Checklist!$D$3:$D$149,MATCH($A95,Checklist!$P$3:$P$149,0)))</f>
        <v/>
      </c>
      <c r="F95" s="28" t="str">
        <f>IF($A95="","",INDEX(Checklist!$F$3:$F$149,MATCH($A95,Checklist!$P$3:$P$149,0)))</f>
        <v/>
      </c>
      <c r="G95" s="28" t="str">
        <f>IF($A95="","",IF($D95&lt;&gt;"",INDEX(Checklist!$E$3:$E$149,MATCH(LEFT($B95,3),Checklist!$C$3:$C$149,0))&amp;" - "&amp;$D95,INDEX(Checklist!$E$3:$E$149,MATCH($A95,Checklist!$P$3:$P$149,0))))</f>
        <v/>
      </c>
      <c r="H95" s="28" t="str">
        <f>IF($A95="","",INDEX(Checklist!$G$3:$G$149,MATCH($A95,Checklist!$P$3:$P$149,0)))</f>
        <v/>
      </c>
      <c r="I95" s="30" t="str">
        <f>IF($A95="","",INDEX(Checklist!$N$3:$N$149,MATCH($A95,Checklist!$P$3:$P$149,0)))</f>
        <v/>
      </c>
      <c r="J95" s="27"/>
      <c r="K95" s="27"/>
      <c r="L95" s="29"/>
    </row>
    <row r="96" spans="1:12" ht="42" customHeight="1">
      <c r="A96" s="28" t="str">
        <f>IF(ROW()-4&lt;=COUNT(Checklist!$P$3:$P$149),ROW()-4,"")</f>
        <v/>
      </c>
      <c r="B96" s="28" t="str">
        <f>IF($A96="","",INDEX(Checklist!$C$3:$C$149,MATCH($A96,Checklist!$P$3:$P$149,0)))</f>
        <v/>
      </c>
      <c r="C96" s="28" t="str">
        <f>IF($A96="","",INDEX(Checklist!$B$3:$B$149,MATCH($A96,Checklist!$P$3:$P$149,0)))</f>
        <v/>
      </c>
      <c r="D96" s="28" t="str">
        <f>IF($A96="","",IF(INDEX(Checklist!$A$3:$A$149,MATCH($A96,Checklist!$P$3:$P$149,0))=7,IFERROR(LEFT(INDEX(Checklist!$E$3:$E$149,MATCH($A96,Checklist!$P$3:$P$149,0)),FIND(CHAR(10),INDEX(Checklist!$E$3:$E$149,MATCH($A96,Checklist!$P$3:$P$149,0)))-1),INDEX(Checklist!$E$3:$E$149,MATCH($A96,Checklist!$P$3:$P$149,0))),""))</f>
        <v/>
      </c>
      <c r="E96" s="28" t="str">
        <f>IF($A96="","",INDEX(Checklist!$D$3:$D$149,MATCH($A96,Checklist!$P$3:$P$149,0)))</f>
        <v/>
      </c>
      <c r="F96" s="28" t="str">
        <f>IF($A96="","",INDEX(Checklist!$F$3:$F$149,MATCH($A96,Checklist!$P$3:$P$149,0)))</f>
        <v/>
      </c>
      <c r="G96" s="28" t="str">
        <f>IF($A96="","",IF($D96&lt;&gt;"",INDEX(Checklist!$E$3:$E$149,MATCH(LEFT($B96,3),Checklist!$C$3:$C$149,0))&amp;" - "&amp;$D96,INDEX(Checklist!$E$3:$E$149,MATCH($A96,Checklist!$P$3:$P$149,0))))</f>
        <v/>
      </c>
      <c r="H96" s="28" t="str">
        <f>IF($A96="","",INDEX(Checklist!$G$3:$G$149,MATCH($A96,Checklist!$P$3:$P$149,0)))</f>
        <v/>
      </c>
      <c r="I96" s="30" t="str">
        <f>IF($A96="","",INDEX(Checklist!$N$3:$N$149,MATCH($A96,Checklist!$P$3:$P$149,0)))</f>
        <v/>
      </c>
      <c r="J96" s="27"/>
      <c r="K96" s="27"/>
      <c r="L96" s="29"/>
    </row>
    <row r="97" spans="1:12" ht="42" customHeight="1">
      <c r="A97" s="28" t="str">
        <f>IF(ROW()-4&lt;=COUNT(Checklist!$P$3:$P$149),ROW()-4,"")</f>
        <v/>
      </c>
      <c r="B97" s="28" t="str">
        <f>IF($A97="","",INDEX(Checklist!$C$3:$C$149,MATCH($A97,Checklist!$P$3:$P$149,0)))</f>
        <v/>
      </c>
      <c r="C97" s="28" t="str">
        <f>IF($A97="","",INDEX(Checklist!$B$3:$B$149,MATCH($A97,Checklist!$P$3:$P$149,0)))</f>
        <v/>
      </c>
      <c r="D97" s="28" t="str">
        <f>IF($A97="","",IF(INDEX(Checklist!$A$3:$A$149,MATCH($A97,Checklist!$P$3:$P$149,0))=7,IFERROR(LEFT(INDEX(Checklist!$E$3:$E$149,MATCH($A97,Checklist!$P$3:$P$149,0)),FIND(CHAR(10),INDEX(Checklist!$E$3:$E$149,MATCH($A97,Checklist!$P$3:$P$149,0)))-1),INDEX(Checklist!$E$3:$E$149,MATCH($A97,Checklist!$P$3:$P$149,0))),""))</f>
        <v/>
      </c>
      <c r="E97" s="28" t="str">
        <f>IF($A97="","",INDEX(Checklist!$D$3:$D$149,MATCH($A97,Checklist!$P$3:$P$149,0)))</f>
        <v/>
      </c>
      <c r="F97" s="28" t="str">
        <f>IF($A97="","",INDEX(Checklist!$F$3:$F$149,MATCH($A97,Checklist!$P$3:$P$149,0)))</f>
        <v/>
      </c>
      <c r="G97" s="28" t="str">
        <f>IF($A97="","",IF($D97&lt;&gt;"",INDEX(Checklist!$E$3:$E$149,MATCH(LEFT($B97,3),Checklist!$C$3:$C$149,0))&amp;" - "&amp;$D97,INDEX(Checklist!$E$3:$E$149,MATCH($A97,Checklist!$P$3:$P$149,0))))</f>
        <v/>
      </c>
      <c r="H97" s="28" t="str">
        <f>IF($A97="","",INDEX(Checklist!$G$3:$G$149,MATCH($A97,Checklist!$P$3:$P$149,0)))</f>
        <v/>
      </c>
      <c r="I97" s="30" t="str">
        <f>IF($A97="","",INDEX(Checklist!$N$3:$N$149,MATCH($A97,Checklist!$P$3:$P$149,0)))</f>
        <v/>
      </c>
      <c r="J97" s="27"/>
      <c r="K97" s="27"/>
      <c r="L97" s="29"/>
    </row>
    <row r="98" spans="1:12" ht="42" customHeight="1">
      <c r="A98" s="28" t="str">
        <f>IF(ROW()-4&lt;=COUNT(Checklist!$P$3:$P$149),ROW()-4,"")</f>
        <v/>
      </c>
      <c r="B98" s="28" t="str">
        <f>IF($A98="","",INDEX(Checklist!$C$3:$C$149,MATCH($A98,Checklist!$P$3:$P$149,0)))</f>
        <v/>
      </c>
      <c r="C98" s="28" t="str">
        <f>IF($A98="","",INDEX(Checklist!$B$3:$B$149,MATCH($A98,Checklist!$P$3:$P$149,0)))</f>
        <v/>
      </c>
      <c r="D98" s="28" t="str">
        <f>IF($A98="","",IF(INDEX(Checklist!$A$3:$A$149,MATCH($A98,Checklist!$P$3:$P$149,0))=7,IFERROR(LEFT(INDEX(Checklist!$E$3:$E$149,MATCH($A98,Checklist!$P$3:$P$149,0)),FIND(CHAR(10),INDEX(Checklist!$E$3:$E$149,MATCH($A98,Checklist!$P$3:$P$149,0)))-1),INDEX(Checklist!$E$3:$E$149,MATCH($A98,Checklist!$P$3:$P$149,0))),""))</f>
        <v/>
      </c>
      <c r="E98" s="28" t="str">
        <f>IF($A98="","",INDEX(Checklist!$D$3:$D$149,MATCH($A98,Checklist!$P$3:$P$149,0)))</f>
        <v/>
      </c>
      <c r="F98" s="28" t="str">
        <f>IF($A98="","",INDEX(Checklist!$F$3:$F$149,MATCH($A98,Checklist!$P$3:$P$149,0)))</f>
        <v/>
      </c>
      <c r="G98" s="28" t="str">
        <f>IF($A98="","",IF($D98&lt;&gt;"",INDEX(Checklist!$E$3:$E$149,MATCH(LEFT($B98,3),Checklist!$C$3:$C$149,0))&amp;" - "&amp;$D98,INDEX(Checklist!$E$3:$E$149,MATCH($A98,Checklist!$P$3:$P$149,0))))</f>
        <v/>
      </c>
      <c r="H98" s="28" t="str">
        <f>IF($A98="","",INDEX(Checklist!$G$3:$G$149,MATCH($A98,Checklist!$P$3:$P$149,0)))</f>
        <v/>
      </c>
      <c r="I98" s="30" t="str">
        <f>IF($A98="","",INDEX(Checklist!$N$3:$N$149,MATCH($A98,Checklist!$P$3:$P$149,0)))</f>
        <v/>
      </c>
      <c r="J98" s="27"/>
      <c r="K98" s="27"/>
      <c r="L98" s="29"/>
    </row>
    <row r="99" spans="1:12" ht="42" customHeight="1">
      <c r="A99" s="28" t="str">
        <f>IF(ROW()-4&lt;=COUNT(Checklist!$P$3:$P$149),ROW()-4,"")</f>
        <v/>
      </c>
      <c r="B99" s="28" t="str">
        <f>IF($A99="","",INDEX(Checklist!$C$3:$C$149,MATCH($A99,Checklist!$P$3:$P$149,0)))</f>
        <v/>
      </c>
      <c r="C99" s="28" t="str">
        <f>IF($A99="","",INDEX(Checklist!$B$3:$B$149,MATCH($A99,Checklist!$P$3:$P$149,0)))</f>
        <v/>
      </c>
      <c r="D99" s="28" t="str">
        <f>IF($A99="","",IF(INDEX(Checklist!$A$3:$A$149,MATCH($A99,Checklist!$P$3:$P$149,0))=7,IFERROR(LEFT(INDEX(Checklist!$E$3:$E$149,MATCH($A99,Checklist!$P$3:$P$149,0)),FIND(CHAR(10),INDEX(Checklist!$E$3:$E$149,MATCH($A99,Checklist!$P$3:$P$149,0)))-1),INDEX(Checklist!$E$3:$E$149,MATCH($A99,Checklist!$P$3:$P$149,0))),""))</f>
        <v/>
      </c>
      <c r="E99" s="28" t="str">
        <f>IF($A99="","",INDEX(Checklist!$D$3:$D$149,MATCH($A99,Checklist!$P$3:$P$149,0)))</f>
        <v/>
      </c>
      <c r="F99" s="28" t="str">
        <f>IF($A99="","",INDEX(Checklist!$F$3:$F$149,MATCH($A99,Checklist!$P$3:$P$149,0)))</f>
        <v/>
      </c>
      <c r="G99" s="28" t="str">
        <f>IF($A99="","",IF($D99&lt;&gt;"",INDEX(Checklist!$E$3:$E$149,MATCH(LEFT($B99,3),Checklist!$C$3:$C$149,0))&amp;" - "&amp;$D99,INDEX(Checklist!$E$3:$E$149,MATCH($A99,Checklist!$P$3:$P$149,0))))</f>
        <v/>
      </c>
      <c r="H99" s="28" t="str">
        <f>IF($A99="","",INDEX(Checklist!$G$3:$G$149,MATCH($A99,Checklist!$P$3:$P$149,0)))</f>
        <v/>
      </c>
      <c r="I99" s="30" t="str">
        <f>IF($A99="","",INDEX(Checklist!$N$3:$N$149,MATCH($A99,Checklist!$P$3:$P$149,0)))</f>
        <v/>
      </c>
      <c r="J99" s="27"/>
      <c r="K99" s="27"/>
      <c r="L99" s="29"/>
    </row>
    <row r="100" spans="1:12" ht="42" customHeight="1">
      <c r="A100" s="28" t="str">
        <f>IF(ROW()-4&lt;=COUNT(Checklist!$P$3:$P$149),ROW()-4,"")</f>
        <v/>
      </c>
      <c r="B100" s="28" t="str">
        <f>IF($A100="","",INDEX(Checklist!$C$3:$C$149,MATCH($A100,Checklist!$P$3:$P$149,0)))</f>
        <v/>
      </c>
      <c r="C100" s="28" t="str">
        <f>IF($A100="","",INDEX(Checklist!$B$3:$B$149,MATCH($A100,Checklist!$P$3:$P$149,0)))</f>
        <v/>
      </c>
      <c r="D100" s="28" t="str">
        <f>IF($A100="","",IF(INDEX(Checklist!$A$3:$A$149,MATCH($A100,Checklist!$P$3:$P$149,0))=7,IFERROR(LEFT(INDEX(Checklist!$E$3:$E$149,MATCH($A100,Checklist!$P$3:$P$149,0)),FIND(CHAR(10),INDEX(Checklist!$E$3:$E$149,MATCH($A100,Checklist!$P$3:$P$149,0)))-1),INDEX(Checklist!$E$3:$E$149,MATCH($A100,Checklist!$P$3:$P$149,0))),""))</f>
        <v/>
      </c>
      <c r="E100" s="28" t="str">
        <f>IF($A100="","",INDEX(Checklist!$D$3:$D$149,MATCH($A100,Checklist!$P$3:$P$149,0)))</f>
        <v/>
      </c>
      <c r="F100" s="28" t="str">
        <f>IF($A100="","",INDEX(Checklist!$F$3:$F$149,MATCH($A100,Checklist!$P$3:$P$149,0)))</f>
        <v/>
      </c>
      <c r="G100" s="28" t="str">
        <f>IF($A100="","",IF($D100&lt;&gt;"",INDEX(Checklist!$E$3:$E$149,MATCH(LEFT($B100,3),Checklist!$C$3:$C$149,0))&amp;" - "&amp;$D100,INDEX(Checklist!$E$3:$E$149,MATCH($A100,Checklist!$P$3:$P$149,0))))</f>
        <v/>
      </c>
      <c r="H100" s="28" t="str">
        <f>IF($A100="","",INDEX(Checklist!$G$3:$G$149,MATCH($A100,Checklist!$P$3:$P$149,0)))</f>
        <v/>
      </c>
      <c r="I100" s="30" t="str">
        <f>IF($A100="","",INDEX(Checklist!$N$3:$N$149,MATCH($A100,Checklist!$P$3:$P$149,0)))</f>
        <v/>
      </c>
      <c r="J100" s="27"/>
      <c r="K100" s="27"/>
      <c r="L100" s="29"/>
    </row>
    <row r="101" spans="1:12" ht="42" customHeight="1">
      <c r="A101" s="28" t="str">
        <f>IF(ROW()-4&lt;=COUNT(Checklist!$P$3:$P$149),ROW()-4,"")</f>
        <v/>
      </c>
      <c r="B101" s="28" t="str">
        <f>IF($A101="","",INDEX(Checklist!$C$3:$C$149,MATCH($A101,Checklist!$P$3:$P$149,0)))</f>
        <v/>
      </c>
      <c r="C101" s="28" t="str">
        <f>IF($A101="","",INDEX(Checklist!$B$3:$B$149,MATCH($A101,Checklist!$P$3:$P$149,0)))</f>
        <v/>
      </c>
      <c r="D101" s="28" t="str">
        <f>IF($A101="","",IF(INDEX(Checklist!$A$3:$A$149,MATCH($A101,Checklist!$P$3:$P$149,0))=7,IFERROR(LEFT(INDEX(Checklist!$E$3:$E$149,MATCH($A101,Checklist!$P$3:$P$149,0)),FIND(CHAR(10),INDEX(Checklist!$E$3:$E$149,MATCH($A101,Checklist!$P$3:$P$149,0)))-1),INDEX(Checklist!$E$3:$E$149,MATCH($A101,Checklist!$P$3:$P$149,0))),""))</f>
        <v/>
      </c>
      <c r="E101" s="28" t="str">
        <f>IF($A101="","",INDEX(Checklist!$D$3:$D$149,MATCH($A101,Checklist!$P$3:$P$149,0)))</f>
        <v/>
      </c>
      <c r="F101" s="28" t="str">
        <f>IF($A101="","",INDEX(Checklist!$F$3:$F$149,MATCH($A101,Checklist!$P$3:$P$149,0)))</f>
        <v/>
      </c>
      <c r="G101" s="28" t="str">
        <f>IF($A101="","",IF($D101&lt;&gt;"",INDEX(Checklist!$E$3:$E$149,MATCH(LEFT($B101,3),Checklist!$C$3:$C$149,0))&amp;" - "&amp;$D101,INDEX(Checklist!$E$3:$E$149,MATCH($A101,Checklist!$P$3:$P$149,0))))</f>
        <v/>
      </c>
      <c r="H101" s="28" t="str">
        <f>IF($A101="","",INDEX(Checklist!$G$3:$G$149,MATCH($A101,Checklist!$P$3:$P$149,0)))</f>
        <v/>
      </c>
      <c r="I101" s="30" t="str">
        <f>IF($A101="","",INDEX(Checklist!$N$3:$N$149,MATCH($A101,Checklist!$P$3:$P$149,0)))</f>
        <v/>
      </c>
      <c r="J101" s="27"/>
      <c r="K101" s="27"/>
      <c r="L101" s="29"/>
    </row>
    <row r="102" spans="1:12" ht="42" customHeight="1">
      <c r="A102" s="28" t="str">
        <f>IF(ROW()-4&lt;=COUNT(Checklist!$P$3:$P$149),ROW()-4,"")</f>
        <v/>
      </c>
      <c r="B102" s="28" t="str">
        <f>IF($A102="","",INDEX(Checklist!$C$3:$C$149,MATCH($A102,Checklist!$P$3:$P$149,0)))</f>
        <v/>
      </c>
      <c r="C102" s="28" t="str">
        <f>IF($A102="","",INDEX(Checklist!$B$3:$B$149,MATCH($A102,Checklist!$P$3:$P$149,0)))</f>
        <v/>
      </c>
      <c r="D102" s="28" t="str">
        <f>IF($A102="","",IF(INDEX(Checklist!$A$3:$A$149,MATCH($A102,Checklist!$P$3:$P$149,0))=7,IFERROR(LEFT(INDEX(Checklist!$E$3:$E$149,MATCH($A102,Checklist!$P$3:$P$149,0)),FIND(CHAR(10),INDEX(Checklist!$E$3:$E$149,MATCH($A102,Checklist!$P$3:$P$149,0)))-1),INDEX(Checklist!$E$3:$E$149,MATCH($A102,Checklist!$P$3:$P$149,0))),""))</f>
        <v/>
      </c>
      <c r="E102" s="28" t="str">
        <f>IF($A102="","",INDEX(Checklist!$D$3:$D$149,MATCH($A102,Checklist!$P$3:$P$149,0)))</f>
        <v/>
      </c>
      <c r="F102" s="28" t="str">
        <f>IF($A102="","",INDEX(Checklist!$F$3:$F$149,MATCH($A102,Checklist!$P$3:$P$149,0)))</f>
        <v/>
      </c>
      <c r="G102" s="28" t="str">
        <f>IF($A102="","",IF($D102&lt;&gt;"",INDEX(Checklist!$E$3:$E$149,MATCH(LEFT($B102,3),Checklist!$C$3:$C$149,0))&amp;" - "&amp;$D102,INDEX(Checklist!$E$3:$E$149,MATCH($A102,Checklist!$P$3:$P$149,0))))</f>
        <v/>
      </c>
      <c r="H102" s="28" t="str">
        <f>IF($A102="","",INDEX(Checklist!$G$3:$G$149,MATCH($A102,Checklist!$P$3:$P$149,0)))</f>
        <v/>
      </c>
      <c r="I102" s="30" t="str">
        <f>IF($A102="","",INDEX(Checklist!$N$3:$N$149,MATCH($A102,Checklist!$P$3:$P$149,0)))</f>
        <v/>
      </c>
      <c r="J102" s="27"/>
      <c r="K102" s="27"/>
      <c r="L102" s="29"/>
    </row>
    <row r="103" spans="1:12" ht="42" customHeight="1">
      <c r="A103" s="28" t="str">
        <f>IF(ROW()-4&lt;=COUNT(Checklist!$P$3:$P$149),ROW()-4,"")</f>
        <v/>
      </c>
      <c r="B103" s="28" t="str">
        <f>IF($A103="","",INDEX(Checklist!$C$3:$C$149,MATCH($A103,Checklist!$P$3:$P$149,0)))</f>
        <v/>
      </c>
      <c r="C103" s="28" t="str">
        <f>IF($A103="","",INDEX(Checklist!$B$3:$B$149,MATCH($A103,Checklist!$P$3:$P$149,0)))</f>
        <v/>
      </c>
      <c r="D103" s="28" t="str">
        <f>IF($A103="","",IF(INDEX(Checklist!$A$3:$A$149,MATCH($A103,Checklist!$P$3:$P$149,0))=7,IFERROR(LEFT(INDEX(Checklist!$E$3:$E$149,MATCH($A103,Checklist!$P$3:$P$149,0)),FIND(CHAR(10),INDEX(Checklist!$E$3:$E$149,MATCH($A103,Checklist!$P$3:$P$149,0)))-1),INDEX(Checklist!$E$3:$E$149,MATCH($A103,Checklist!$P$3:$P$149,0))),""))</f>
        <v/>
      </c>
      <c r="E103" s="28" t="str">
        <f>IF($A103="","",INDEX(Checklist!$D$3:$D$149,MATCH($A103,Checklist!$P$3:$P$149,0)))</f>
        <v/>
      </c>
      <c r="F103" s="28" t="str">
        <f>IF($A103="","",INDEX(Checklist!$F$3:$F$149,MATCH($A103,Checklist!$P$3:$P$149,0)))</f>
        <v/>
      </c>
      <c r="G103" s="28" t="str">
        <f>IF($A103="","",IF($D103&lt;&gt;"",INDEX(Checklist!$E$3:$E$149,MATCH(LEFT($B103,3),Checklist!$C$3:$C$149,0))&amp;" - "&amp;$D103,INDEX(Checklist!$E$3:$E$149,MATCH($A103,Checklist!$P$3:$P$149,0))))</f>
        <v/>
      </c>
      <c r="H103" s="28" t="str">
        <f>IF($A103="","",INDEX(Checklist!$G$3:$G$149,MATCH($A103,Checklist!$P$3:$P$149,0)))</f>
        <v/>
      </c>
      <c r="I103" s="30" t="str">
        <f>IF($A103="","",INDEX(Checklist!$N$3:$N$149,MATCH($A103,Checklist!$P$3:$P$149,0)))</f>
        <v/>
      </c>
      <c r="J103" s="27"/>
      <c r="K103" s="27"/>
      <c r="L103" s="29"/>
    </row>
    <row r="104" spans="1:12" ht="42" customHeight="1">
      <c r="A104" s="28" t="str">
        <f>IF(ROW()-4&lt;=COUNT(Checklist!$P$3:$P$149),ROW()-4,"")</f>
        <v/>
      </c>
      <c r="B104" s="28" t="str">
        <f>IF($A104="","",INDEX(Checklist!$C$3:$C$149,MATCH($A104,Checklist!$P$3:$P$149,0)))</f>
        <v/>
      </c>
      <c r="C104" s="28" t="str">
        <f>IF($A104="","",INDEX(Checklist!$B$3:$B$149,MATCH($A104,Checklist!$P$3:$P$149,0)))</f>
        <v/>
      </c>
      <c r="D104" s="28" t="str">
        <f>IF($A104="","",IF(INDEX(Checklist!$A$3:$A$149,MATCH($A104,Checklist!$P$3:$P$149,0))=7,IFERROR(LEFT(INDEX(Checklist!$E$3:$E$149,MATCH($A104,Checklist!$P$3:$P$149,0)),FIND(CHAR(10),INDEX(Checklist!$E$3:$E$149,MATCH($A104,Checklist!$P$3:$P$149,0)))-1),INDEX(Checklist!$E$3:$E$149,MATCH($A104,Checklist!$P$3:$P$149,0))),""))</f>
        <v/>
      </c>
      <c r="E104" s="28" t="str">
        <f>IF($A104="","",INDEX(Checklist!$D$3:$D$149,MATCH($A104,Checklist!$P$3:$P$149,0)))</f>
        <v/>
      </c>
      <c r="F104" s="28" t="str">
        <f>IF($A104="","",INDEX(Checklist!$F$3:$F$149,MATCH($A104,Checklist!$P$3:$P$149,0)))</f>
        <v/>
      </c>
      <c r="G104" s="28" t="str">
        <f>IF($A104="","",IF($D104&lt;&gt;"",INDEX(Checklist!$E$3:$E$149,MATCH(LEFT($B104,3),Checklist!$C$3:$C$149,0))&amp;" - "&amp;$D104,INDEX(Checklist!$E$3:$E$149,MATCH($A104,Checklist!$P$3:$P$149,0))))</f>
        <v/>
      </c>
      <c r="H104" s="28" t="str">
        <f>IF($A104="","",INDEX(Checklist!$G$3:$G$149,MATCH($A104,Checklist!$P$3:$P$149,0)))</f>
        <v/>
      </c>
      <c r="I104" s="30" t="str">
        <f>IF($A104="","",INDEX(Checklist!$N$3:$N$149,MATCH($A104,Checklist!$P$3:$P$149,0)))</f>
        <v/>
      </c>
      <c r="J104" s="27"/>
      <c r="K104" s="27"/>
      <c r="L104" s="29"/>
    </row>
    <row r="105" spans="1:12" ht="42" customHeight="1">
      <c r="A105" s="28" t="str">
        <f>IF(ROW()-4&lt;=COUNT(Checklist!$P$3:$P$149),ROW()-4,"")</f>
        <v/>
      </c>
      <c r="B105" s="28" t="str">
        <f>IF($A105="","",INDEX(Checklist!$C$3:$C$149,MATCH($A105,Checklist!$P$3:$P$149,0)))</f>
        <v/>
      </c>
      <c r="C105" s="28" t="str">
        <f>IF($A105="","",INDEX(Checklist!$B$3:$B$149,MATCH($A105,Checklist!$P$3:$P$149,0)))</f>
        <v/>
      </c>
      <c r="D105" s="28" t="str">
        <f>IF($A105="","",IF(INDEX(Checklist!$A$3:$A$149,MATCH($A105,Checklist!$P$3:$P$149,0))=7,IFERROR(LEFT(INDEX(Checklist!$E$3:$E$149,MATCH($A105,Checklist!$P$3:$P$149,0)),FIND(CHAR(10),INDEX(Checklist!$E$3:$E$149,MATCH($A105,Checklist!$P$3:$P$149,0)))-1),INDEX(Checklist!$E$3:$E$149,MATCH($A105,Checklist!$P$3:$P$149,0))),""))</f>
        <v/>
      </c>
      <c r="E105" s="28" t="str">
        <f>IF($A105="","",INDEX(Checklist!$D$3:$D$149,MATCH($A105,Checklist!$P$3:$P$149,0)))</f>
        <v/>
      </c>
      <c r="F105" s="28" t="str">
        <f>IF($A105="","",INDEX(Checklist!$F$3:$F$149,MATCH($A105,Checklist!$P$3:$P$149,0)))</f>
        <v/>
      </c>
      <c r="G105" s="28" t="str">
        <f>IF($A105="","",IF($D105&lt;&gt;"",INDEX(Checklist!$E$3:$E$149,MATCH(LEFT($B105,3),Checklist!$C$3:$C$149,0))&amp;" - "&amp;$D105,INDEX(Checklist!$E$3:$E$149,MATCH($A105,Checklist!$P$3:$P$149,0))))</f>
        <v/>
      </c>
      <c r="H105" s="28" t="str">
        <f>IF($A105="","",INDEX(Checklist!$G$3:$G$149,MATCH($A105,Checklist!$P$3:$P$149,0)))</f>
        <v/>
      </c>
      <c r="I105" s="30" t="str">
        <f>IF($A105="","",INDEX(Checklist!$N$3:$N$149,MATCH($A105,Checklist!$P$3:$P$149,0)))</f>
        <v/>
      </c>
      <c r="J105" s="27"/>
      <c r="K105" s="27"/>
      <c r="L105" s="29"/>
    </row>
    <row r="106" spans="1:12" ht="42" customHeight="1">
      <c r="A106" s="28" t="str">
        <f>IF(ROW()-4&lt;=COUNT(Checklist!$P$3:$P$149),ROW()-4,"")</f>
        <v/>
      </c>
      <c r="B106" s="28" t="str">
        <f>IF($A106="","",INDEX(Checklist!$C$3:$C$149,MATCH($A106,Checklist!$P$3:$P$149,0)))</f>
        <v/>
      </c>
      <c r="C106" s="28" t="str">
        <f>IF($A106="","",INDEX(Checklist!$B$3:$B$149,MATCH($A106,Checklist!$P$3:$P$149,0)))</f>
        <v/>
      </c>
      <c r="D106" s="28" t="str">
        <f>IF($A106="","",IF(INDEX(Checklist!$A$3:$A$149,MATCH($A106,Checklist!$P$3:$P$149,0))=7,IFERROR(LEFT(INDEX(Checklist!$E$3:$E$149,MATCH($A106,Checklist!$P$3:$P$149,0)),FIND(CHAR(10),INDEX(Checklist!$E$3:$E$149,MATCH($A106,Checklist!$P$3:$P$149,0)))-1),INDEX(Checklist!$E$3:$E$149,MATCH($A106,Checklist!$P$3:$P$149,0))),""))</f>
        <v/>
      </c>
      <c r="E106" s="28" t="str">
        <f>IF($A106="","",INDEX(Checklist!$D$3:$D$149,MATCH($A106,Checklist!$P$3:$P$149,0)))</f>
        <v/>
      </c>
      <c r="F106" s="28" t="str">
        <f>IF($A106="","",INDEX(Checklist!$F$3:$F$149,MATCH($A106,Checklist!$P$3:$P$149,0)))</f>
        <v/>
      </c>
      <c r="G106" s="28" t="str">
        <f>IF($A106="","",IF($D106&lt;&gt;"",INDEX(Checklist!$E$3:$E$149,MATCH(LEFT($B106,3),Checklist!$C$3:$C$149,0))&amp;" - "&amp;$D106,INDEX(Checklist!$E$3:$E$149,MATCH($A106,Checklist!$P$3:$P$149,0))))</f>
        <v/>
      </c>
      <c r="H106" s="28" t="str">
        <f>IF($A106="","",INDEX(Checklist!$G$3:$G$149,MATCH($A106,Checklist!$P$3:$P$149,0)))</f>
        <v/>
      </c>
      <c r="I106" s="30" t="str">
        <f>IF($A106="","",INDEX(Checklist!$N$3:$N$149,MATCH($A106,Checklist!$P$3:$P$149,0)))</f>
        <v/>
      </c>
      <c r="J106" s="27"/>
      <c r="K106" s="27"/>
      <c r="L106" s="29"/>
    </row>
    <row r="107" spans="1:12" ht="42" customHeight="1">
      <c r="A107" s="28" t="str">
        <f>IF(ROW()-4&lt;=COUNT(Checklist!$P$3:$P$149),ROW()-4,"")</f>
        <v/>
      </c>
      <c r="B107" s="28" t="str">
        <f>IF($A107="","",INDEX(Checklist!$C$3:$C$149,MATCH($A107,Checklist!$P$3:$P$149,0)))</f>
        <v/>
      </c>
      <c r="C107" s="28" t="str">
        <f>IF($A107="","",INDEX(Checklist!$B$3:$B$149,MATCH($A107,Checklist!$P$3:$P$149,0)))</f>
        <v/>
      </c>
      <c r="D107" s="28" t="str">
        <f>IF($A107="","",IF(INDEX(Checklist!$A$3:$A$149,MATCH($A107,Checklist!$P$3:$P$149,0))=7,IFERROR(LEFT(INDEX(Checklist!$E$3:$E$149,MATCH($A107,Checklist!$P$3:$P$149,0)),FIND(CHAR(10),INDEX(Checklist!$E$3:$E$149,MATCH($A107,Checklist!$P$3:$P$149,0)))-1),INDEX(Checklist!$E$3:$E$149,MATCH($A107,Checklist!$P$3:$P$149,0))),""))</f>
        <v/>
      </c>
      <c r="E107" s="28" t="str">
        <f>IF($A107="","",INDEX(Checklist!$D$3:$D$149,MATCH($A107,Checklist!$P$3:$P$149,0)))</f>
        <v/>
      </c>
      <c r="F107" s="28" t="str">
        <f>IF($A107="","",INDEX(Checklist!$F$3:$F$149,MATCH($A107,Checklist!$P$3:$P$149,0)))</f>
        <v/>
      </c>
      <c r="G107" s="28" t="str">
        <f>IF($A107="","",IF($D107&lt;&gt;"",INDEX(Checklist!$E$3:$E$149,MATCH(LEFT($B107,3),Checklist!$C$3:$C$149,0))&amp;" - "&amp;$D107,INDEX(Checklist!$E$3:$E$149,MATCH($A107,Checklist!$P$3:$P$149,0))))</f>
        <v/>
      </c>
      <c r="H107" s="28" t="str">
        <f>IF($A107="","",INDEX(Checklist!$G$3:$G$149,MATCH($A107,Checklist!$P$3:$P$149,0)))</f>
        <v/>
      </c>
      <c r="I107" s="30" t="str">
        <f>IF($A107="","",INDEX(Checklist!$N$3:$N$149,MATCH($A107,Checklist!$P$3:$P$149,0)))</f>
        <v/>
      </c>
      <c r="J107" s="27"/>
      <c r="K107" s="27"/>
      <c r="L107" s="29"/>
    </row>
    <row r="108" spans="1:12" ht="42" customHeight="1">
      <c r="A108" s="28" t="str">
        <f>IF(ROW()-4&lt;=COUNT(Checklist!$P$3:$P$149),ROW()-4,"")</f>
        <v/>
      </c>
      <c r="B108" s="28" t="str">
        <f>IF($A108="","",INDEX(Checklist!$C$3:$C$149,MATCH($A108,Checklist!$P$3:$P$149,0)))</f>
        <v/>
      </c>
      <c r="C108" s="28" t="str">
        <f>IF($A108="","",INDEX(Checklist!$B$3:$B$149,MATCH($A108,Checklist!$P$3:$P$149,0)))</f>
        <v/>
      </c>
      <c r="D108" s="28" t="str">
        <f>IF($A108="","",IF(INDEX(Checklist!$A$3:$A$149,MATCH($A108,Checklist!$P$3:$P$149,0))=7,IFERROR(LEFT(INDEX(Checklist!$E$3:$E$149,MATCH($A108,Checklist!$P$3:$P$149,0)),FIND(CHAR(10),INDEX(Checklist!$E$3:$E$149,MATCH($A108,Checklist!$P$3:$P$149,0)))-1),INDEX(Checklist!$E$3:$E$149,MATCH($A108,Checklist!$P$3:$P$149,0))),""))</f>
        <v/>
      </c>
      <c r="E108" s="28" t="str">
        <f>IF($A108="","",INDEX(Checklist!$D$3:$D$149,MATCH($A108,Checklist!$P$3:$P$149,0)))</f>
        <v/>
      </c>
      <c r="F108" s="28" t="str">
        <f>IF($A108="","",INDEX(Checklist!$F$3:$F$149,MATCH($A108,Checklist!$P$3:$P$149,0)))</f>
        <v/>
      </c>
      <c r="G108" s="28" t="str">
        <f>IF($A108="","",IF($D108&lt;&gt;"",INDEX(Checklist!$E$3:$E$149,MATCH(LEFT($B108,3),Checklist!$C$3:$C$149,0))&amp;" - "&amp;$D108,INDEX(Checklist!$E$3:$E$149,MATCH($A108,Checklist!$P$3:$P$149,0))))</f>
        <v/>
      </c>
      <c r="H108" s="28" t="str">
        <f>IF($A108="","",INDEX(Checklist!$G$3:$G$149,MATCH($A108,Checklist!$P$3:$P$149,0)))</f>
        <v/>
      </c>
      <c r="I108" s="30" t="str">
        <f>IF($A108="","",INDEX(Checklist!$N$3:$N$149,MATCH($A108,Checklist!$P$3:$P$149,0)))</f>
        <v/>
      </c>
      <c r="J108" s="27"/>
      <c r="K108" s="27"/>
      <c r="L108" s="29"/>
    </row>
    <row r="109" spans="1:12" ht="42" customHeight="1">
      <c r="A109" s="28" t="str">
        <f>IF(ROW()-4&lt;=COUNT(Checklist!$P$3:$P$149),ROW()-4,"")</f>
        <v/>
      </c>
      <c r="B109" s="28" t="str">
        <f>IF($A109="","",INDEX(Checklist!$C$3:$C$149,MATCH($A109,Checklist!$P$3:$P$149,0)))</f>
        <v/>
      </c>
      <c r="C109" s="28" t="str">
        <f>IF($A109="","",INDEX(Checklist!$B$3:$B$149,MATCH($A109,Checklist!$P$3:$P$149,0)))</f>
        <v/>
      </c>
      <c r="D109" s="28" t="str">
        <f>IF($A109="","",IF(INDEX(Checklist!$A$3:$A$149,MATCH($A109,Checklist!$P$3:$P$149,0))=7,IFERROR(LEFT(INDEX(Checklist!$E$3:$E$149,MATCH($A109,Checklist!$P$3:$P$149,0)),FIND(CHAR(10),INDEX(Checklist!$E$3:$E$149,MATCH($A109,Checklist!$P$3:$P$149,0)))-1),INDEX(Checklist!$E$3:$E$149,MATCH($A109,Checklist!$P$3:$P$149,0))),""))</f>
        <v/>
      </c>
      <c r="E109" s="28" t="str">
        <f>IF($A109="","",INDEX(Checklist!$D$3:$D$149,MATCH($A109,Checklist!$P$3:$P$149,0)))</f>
        <v/>
      </c>
      <c r="F109" s="28" t="str">
        <f>IF($A109="","",INDEX(Checklist!$F$3:$F$149,MATCH($A109,Checklist!$P$3:$P$149,0)))</f>
        <v/>
      </c>
      <c r="G109" s="28" t="str">
        <f>IF($A109="","",IF($D109&lt;&gt;"",INDEX(Checklist!$E$3:$E$149,MATCH(LEFT($B109,3),Checklist!$C$3:$C$149,0))&amp;" - "&amp;$D109,INDEX(Checklist!$E$3:$E$149,MATCH($A109,Checklist!$P$3:$P$149,0))))</f>
        <v/>
      </c>
      <c r="H109" s="28" t="str">
        <f>IF($A109="","",INDEX(Checklist!$G$3:$G$149,MATCH($A109,Checklist!$P$3:$P$149,0)))</f>
        <v/>
      </c>
      <c r="I109" s="30" t="str">
        <f>IF($A109="","",INDEX(Checklist!$N$3:$N$149,MATCH($A109,Checklist!$P$3:$P$149,0)))</f>
        <v/>
      </c>
      <c r="J109" s="27"/>
      <c r="K109" s="27"/>
      <c r="L109" s="29"/>
    </row>
    <row r="110" spans="1:12" ht="42" customHeight="1">
      <c r="A110" s="28" t="str">
        <f>IF(ROW()-4&lt;=COUNT(Checklist!$P$3:$P$149),ROW()-4,"")</f>
        <v/>
      </c>
      <c r="B110" s="28" t="str">
        <f>IF($A110="","",INDEX(Checklist!$C$3:$C$149,MATCH($A110,Checklist!$P$3:$P$149,0)))</f>
        <v/>
      </c>
      <c r="C110" s="28" t="str">
        <f>IF($A110="","",INDEX(Checklist!$B$3:$B$149,MATCH($A110,Checklist!$P$3:$P$149,0)))</f>
        <v/>
      </c>
      <c r="D110" s="28" t="str">
        <f>IF($A110="","",IF(INDEX(Checklist!$A$3:$A$149,MATCH($A110,Checklist!$P$3:$P$149,0))=7,IFERROR(LEFT(INDEX(Checklist!$E$3:$E$149,MATCH($A110,Checklist!$P$3:$P$149,0)),FIND(CHAR(10),INDEX(Checklist!$E$3:$E$149,MATCH($A110,Checklist!$P$3:$P$149,0)))-1),INDEX(Checklist!$E$3:$E$149,MATCH($A110,Checklist!$P$3:$P$149,0))),""))</f>
        <v/>
      </c>
      <c r="E110" s="28" t="str">
        <f>IF($A110="","",INDEX(Checklist!$D$3:$D$149,MATCH($A110,Checklist!$P$3:$P$149,0)))</f>
        <v/>
      </c>
      <c r="F110" s="28" t="str">
        <f>IF($A110="","",INDEX(Checklist!$F$3:$F$149,MATCH($A110,Checklist!$P$3:$P$149,0)))</f>
        <v/>
      </c>
      <c r="G110" s="28" t="str">
        <f>IF($A110="","",IF($D110&lt;&gt;"",INDEX(Checklist!$E$3:$E$149,MATCH(LEFT($B110,3),Checklist!$C$3:$C$149,0))&amp;" - "&amp;$D110,INDEX(Checklist!$E$3:$E$149,MATCH($A110,Checklist!$P$3:$P$149,0))))</f>
        <v/>
      </c>
      <c r="H110" s="28" t="str">
        <f>IF($A110="","",INDEX(Checklist!$G$3:$G$149,MATCH($A110,Checklist!$P$3:$P$149,0)))</f>
        <v/>
      </c>
      <c r="I110" s="30" t="str">
        <f>IF($A110="","",INDEX(Checklist!$N$3:$N$149,MATCH($A110,Checklist!$P$3:$P$149,0)))</f>
        <v/>
      </c>
      <c r="J110" s="27"/>
      <c r="K110" s="27"/>
      <c r="L110" s="29"/>
    </row>
    <row r="111" spans="1:12" ht="42" customHeight="1">
      <c r="A111" s="28" t="str">
        <f>IF(ROW()-4&lt;=COUNT(Checklist!$P$3:$P$149),ROW()-4,"")</f>
        <v/>
      </c>
      <c r="B111" s="28" t="str">
        <f>IF($A111="","",INDEX(Checklist!$C$3:$C$149,MATCH($A111,Checklist!$P$3:$P$149,0)))</f>
        <v/>
      </c>
      <c r="C111" s="28" t="str">
        <f>IF($A111="","",INDEX(Checklist!$B$3:$B$149,MATCH($A111,Checklist!$P$3:$P$149,0)))</f>
        <v/>
      </c>
      <c r="D111" s="28" t="str">
        <f>IF($A111="","",IF(INDEX(Checklist!$A$3:$A$149,MATCH($A111,Checklist!$P$3:$P$149,0))=7,IFERROR(LEFT(INDEX(Checklist!$E$3:$E$149,MATCH($A111,Checklist!$P$3:$P$149,0)),FIND(CHAR(10),INDEX(Checklist!$E$3:$E$149,MATCH($A111,Checklist!$P$3:$P$149,0)))-1),INDEX(Checklist!$E$3:$E$149,MATCH($A111,Checklist!$P$3:$P$149,0))),""))</f>
        <v/>
      </c>
      <c r="E111" s="28" t="str">
        <f>IF($A111="","",INDEX(Checklist!$D$3:$D$149,MATCH($A111,Checklist!$P$3:$P$149,0)))</f>
        <v/>
      </c>
      <c r="F111" s="28" t="str">
        <f>IF($A111="","",INDEX(Checklist!$F$3:$F$149,MATCH($A111,Checklist!$P$3:$P$149,0)))</f>
        <v/>
      </c>
      <c r="G111" s="28" t="str">
        <f>IF($A111="","",IF($D111&lt;&gt;"",INDEX(Checklist!$E$3:$E$149,MATCH(LEFT($B111,3),Checklist!$C$3:$C$149,0))&amp;" - "&amp;$D111,INDEX(Checklist!$E$3:$E$149,MATCH($A111,Checklist!$P$3:$P$149,0))))</f>
        <v/>
      </c>
      <c r="H111" s="28" t="str">
        <f>IF($A111="","",INDEX(Checklist!$G$3:$G$149,MATCH($A111,Checklist!$P$3:$P$149,0)))</f>
        <v/>
      </c>
      <c r="I111" s="30" t="str">
        <f>IF($A111="","",INDEX(Checklist!$N$3:$N$149,MATCH($A111,Checklist!$P$3:$P$149,0)))</f>
        <v/>
      </c>
      <c r="J111" s="27"/>
      <c r="K111" s="27"/>
      <c r="L111" s="29"/>
    </row>
    <row r="112" spans="1:12" ht="42" customHeight="1">
      <c r="A112" s="28" t="str">
        <f>IF(ROW()-4&lt;=COUNT(Checklist!$P$3:$P$149),ROW()-4,"")</f>
        <v/>
      </c>
      <c r="B112" s="28" t="str">
        <f>IF($A112="","",INDEX(Checklist!$C$3:$C$149,MATCH($A112,Checklist!$P$3:$P$149,0)))</f>
        <v/>
      </c>
      <c r="C112" s="28" t="str">
        <f>IF($A112="","",INDEX(Checklist!$B$3:$B$149,MATCH($A112,Checklist!$P$3:$P$149,0)))</f>
        <v/>
      </c>
      <c r="D112" s="28" t="str">
        <f>IF($A112="","",IF(INDEX(Checklist!$A$3:$A$149,MATCH($A112,Checklist!$P$3:$P$149,0))=7,IFERROR(LEFT(INDEX(Checklist!$E$3:$E$149,MATCH($A112,Checklist!$P$3:$P$149,0)),FIND(CHAR(10),INDEX(Checklist!$E$3:$E$149,MATCH($A112,Checklist!$P$3:$P$149,0)))-1),INDEX(Checklist!$E$3:$E$149,MATCH($A112,Checklist!$P$3:$P$149,0))),""))</f>
        <v/>
      </c>
      <c r="E112" s="28" t="str">
        <f>IF($A112="","",INDEX(Checklist!$D$3:$D$149,MATCH($A112,Checklist!$P$3:$P$149,0)))</f>
        <v/>
      </c>
      <c r="F112" s="28" t="str">
        <f>IF($A112="","",INDEX(Checklist!$F$3:$F$149,MATCH($A112,Checklist!$P$3:$P$149,0)))</f>
        <v/>
      </c>
      <c r="G112" s="28" t="str">
        <f>IF($A112="","",IF($D112&lt;&gt;"",INDEX(Checklist!$E$3:$E$149,MATCH(LEFT($B112,3),Checklist!$C$3:$C$149,0))&amp;" - "&amp;$D112,INDEX(Checklist!$E$3:$E$149,MATCH($A112,Checklist!$P$3:$P$149,0))))</f>
        <v/>
      </c>
      <c r="H112" s="28" t="str">
        <f>IF($A112="","",INDEX(Checklist!$G$3:$G$149,MATCH($A112,Checklist!$P$3:$P$149,0)))</f>
        <v/>
      </c>
      <c r="I112" s="30" t="str">
        <f>IF($A112="","",INDEX(Checklist!$N$3:$N$149,MATCH($A112,Checklist!$P$3:$P$149,0)))</f>
        <v/>
      </c>
      <c r="J112" s="27"/>
      <c r="K112" s="27"/>
      <c r="L112" s="29"/>
    </row>
    <row r="113" spans="1:12" ht="42" customHeight="1">
      <c r="A113" s="28" t="str">
        <f>IF(ROW()-4&lt;=COUNT(Checklist!$P$3:$P$149),ROW()-4,"")</f>
        <v/>
      </c>
      <c r="B113" s="28" t="str">
        <f>IF($A113="","",INDEX(Checklist!$C$3:$C$149,MATCH($A113,Checklist!$P$3:$P$149,0)))</f>
        <v/>
      </c>
      <c r="C113" s="28" t="str">
        <f>IF($A113="","",INDEX(Checklist!$B$3:$B$149,MATCH($A113,Checklist!$P$3:$P$149,0)))</f>
        <v/>
      </c>
      <c r="D113" s="28" t="str">
        <f>IF($A113="","",IF(INDEX(Checklist!$A$3:$A$149,MATCH($A113,Checklist!$P$3:$P$149,0))=7,IFERROR(LEFT(INDEX(Checklist!$E$3:$E$149,MATCH($A113,Checklist!$P$3:$P$149,0)),FIND(CHAR(10),INDEX(Checklist!$E$3:$E$149,MATCH($A113,Checklist!$P$3:$P$149,0)))-1),INDEX(Checklist!$E$3:$E$149,MATCH($A113,Checklist!$P$3:$P$149,0))),""))</f>
        <v/>
      </c>
      <c r="E113" s="28" t="str">
        <f>IF($A113="","",INDEX(Checklist!$D$3:$D$149,MATCH($A113,Checklist!$P$3:$P$149,0)))</f>
        <v/>
      </c>
      <c r="F113" s="28" t="str">
        <f>IF($A113="","",INDEX(Checklist!$F$3:$F$149,MATCH($A113,Checklist!$P$3:$P$149,0)))</f>
        <v/>
      </c>
      <c r="G113" s="28" t="str">
        <f>IF($A113="","",IF($D113&lt;&gt;"",INDEX(Checklist!$E$3:$E$149,MATCH(LEFT($B113,3),Checklist!$C$3:$C$149,0))&amp;" - "&amp;$D113,INDEX(Checklist!$E$3:$E$149,MATCH($A113,Checklist!$P$3:$P$149,0))))</f>
        <v/>
      </c>
      <c r="H113" s="28" t="str">
        <f>IF($A113="","",INDEX(Checklist!$G$3:$G$149,MATCH($A113,Checklist!$P$3:$P$149,0)))</f>
        <v/>
      </c>
      <c r="I113" s="30" t="str">
        <f>IF($A113="","",INDEX(Checklist!$N$3:$N$149,MATCH($A113,Checklist!$P$3:$P$149,0)))</f>
        <v/>
      </c>
      <c r="J113" s="27"/>
      <c r="K113" s="27"/>
      <c r="L113" s="29"/>
    </row>
    <row r="114" spans="1:12" ht="42" customHeight="1">
      <c r="A114" s="28" t="str">
        <f>IF(ROW()-4&lt;=COUNT(Checklist!$P$3:$P$149),ROW()-4,"")</f>
        <v/>
      </c>
      <c r="B114" s="28" t="str">
        <f>IF($A114="","",INDEX(Checklist!$C$3:$C$149,MATCH($A114,Checklist!$P$3:$P$149,0)))</f>
        <v/>
      </c>
      <c r="C114" s="28" t="str">
        <f>IF($A114="","",INDEX(Checklist!$B$3:$B$149,MATCH($A114,Checklist!$P$3:$P$149,0)))</f>
        <v/>
      </c>
      <c r="D114" s="28" t="str">
        <f>IF($A114="","",IF(INDEX(Checklist!$A$3:$A$149,MATCH($A114,Checklist!$P$3:$P$149,0))=7,IFERROR(LEFT(INDEX(Checklist!$E$3:$E$149,MATCH($A114,Checklist!$P$3:$P$149,0)),FIND(CHAR(10),INDEX(Checklist!$E$3:$E$149,MATCH($A114,Checklist!$P$3:$P$149,0)))-1),INDEX(Checklist!$E$3:$E$149,MATCH($A114,Checklist!$P$3:$P$149,0))),""))</f>
        <v/>
      </c>
      <c r="E114" s="28" t="str">
        <f>IF($A114="","",INDEX(Checklist!$D$3:$D$149,MATCH($A114,Checklist!$P$3:$P$149,0)))</f>
        <v/>
      </c>
      <c r="F114" s="28" t="str">
        <f>IF($A114="","",INDEX(Checklist!$F$3:$F$149,MATCH($A114,Checklist!$P$3:$P$149,0)))</f>
        <v/>
      </c>
      <c r="G114" s="28" t="str">
        <f>IF($A114="","",IF($D114&lt;&gt;"",INDEX(Checklist!$E$3:$E$149,MATCH(LEFT($B114,3),Checklist!$C$3:$C$149,0))&amp;" - "&amp;$D114,INDEX(Checklist!$E$3:$E$149,MATCH($A114,Checklist!$P$3:$P$149,0))))</f>
        <v/>
      </c>
      <c r="H114" s="28" t="str">
        <f>IF($A114="","",INDEX(Checklist!$G$3:$G$149,MATCH($A114,Checklist!$P$3:$P$149,0)))</f>
        <v/>
      </c>
      <c r="I114" s="30" t="str">
        <f>IF($A114="","",INDEX(Checklist!$N$3:$N$149,MATCH($A114,Checklist!$P$3:$P$149,0)))</f>
        <v/>
      </c>
      <c r="J114" s="27"/>
      <c r="K114" s="27"/>
      <c r="L114" s="29"/>
    </row>
    <row r="115" spans="1:12" ht="42" customHeight="1">
      <c r="A115" s="28" t="str">
        <f>IF(ROW()-4&lt;=COUNT(Checklist!$P$3:$P$149),ROW()-4,"")</f>
        <v/>
      </c>
      <c r="B115" s="28" t="str">
        <f>IF($A115="","",INDEX(Checklist!$C$3:$C$149,MATCH($A115,Checklist!$P$3:$P$149,0)))</f>
        <v/>
      </c>
      <c r="C115" s="28" t="str">
        <f>IF($A115="","",INDEX(Checklist!$B$3:$B$149,MATCH($A115,Checklist!$P$3:$P$149,0)))</f>
        <v/>
      </c>
      <c r="D115" s="28" t="str">
        <f>IF($A115="","",IF(INDEX(Checklist!$A$3:$A$149,MATCH($A115,Checklist!$P$3:$P$149,0))=7,IFERROR(LEFT(INDEX(Checklist!$E$3:$E$149,MATCH($A115,Checklist!$P$3:$P$149,0)),FIND(CHAR(10),INDEX(Checklist!$E$3:$E$149,MATCH($A115,Checklist!$P$3:$P$149,0)))-1),INDEX(Checklist!$E$3:$E$149,MATCH($A115,Checklist!$P$3:$P$149,0))),""))</f>
        <v/>
      </c>
      <c r="E115" s="28" t="str">
        <f>IF($A115="","",INDEX(Checklist!$D$3:$D$149,MATCH($A115,Checklist!$P$3:$P$149,0)))</f>
        <v/>
      </c>
      <c r="F115" s="28" t="str">
        <f>IF($A115="","",INDEX(Checklist!$F$3:$F$149,MATCH($A115,Checklist!$P$3:$P$149,0)))</f>
        <v/>
      </c>
      <c r="G115" s="28" t="str">
        <f>IF($A115="","",IF($D115&lt;&gt;"",INDEX(Checklist!$E$3:$E$149,MATCH(LEFT($B115,3),Checklist!$C$3:$C$149,0))&amp;" - "&amp;$D115,INDEX(Checklist!$E$3:$E$149,MATCH($A115,Checklist!$P$3:$P$149,0))))</f>
        <v/>
      </c>
      <c r="H115" s="28" t="str">
        <f>IF($A115="","",INDEX(Checklist!$G$3:$G$149,MATCH($A115,Checklist!$P$3:$P$149,0)))</f>
        <v/>
      </c>
      <c r="I115" s="30" t="str">
        <f>IF($A115="","",INDEX(Checklist!$N$3:$N$149,MATCH($A115,Checklist!$P$3:$P$149,0)))</f>
        <v/>
      </c>
      <c r="J115" s="27"/>
      <c r="K115" s="27"/>
      <c r="L115" s="29"/>
    </row>
    <row r="116" spans="1:12">
      <c r="A116" s="28" t="str">
        <f>IF(ROW()-4&lt;=COUNT(Checklist!$P$3:$P$149),ROW()-4,"")</f>
        <v/>
      </c>
      <c r="B116" s="28" t="str">
        <f>IF($A116="","",INDEX(Checklist!$C$3:$C$149,MATCH($A116,Checklist!$P$3:$P$149,0)))</f>
        <v/>
      </c>
      <c r="C116" s="28" t="str">
        <f>IF($A116="","",INDEX(Checklist!$B$3:$B$149,MATCH($A116,Checklist!$P$3:$P$149,0)))</f>
        <v/>
      </c>
      <c r="D116" s="28" t="str">
        <f>IF($A116="","",IF(INDEX(Checklist!$A$3:$A$149,MATCH($A116,Checklist!$P$3:$P$149,0))=7,IFERROR(LEFT(INDEX(Checklist!$E$3:$E$149,MATCH($A116,Checklist!$P$3:$P$149,0)),FIND(CHAR(10),INDEX(Checklist!$E$3:$E$149,MATCH($A116,Checklist!$P$3:$P$149,0)))-1),INDEX(Checklist!$E$3:$E$149,MATCH($A116,Checklist!$P$3:$P$149,0))),""))</f>
        <v/>
      </c>
      <c r="E116" s="28" t="str">
        <f>IF($A116="","",INDEX(Checklist!$D$3:$D$149,MATCH($A116,Checklist!$P$3:$P$149,0)))</f>
        <v/>
      </c>
      <c r="F116" s="28" t="str">
        <f>IF($A116="","",INDEX(Checklist!$F$3:$F$149,MATCH($A116,Checklist!$P$3:$P$149,0)))</f>
        <v/>
      </c>
      <c r="G116" s="28" t="str">
        <f>IF($A116="","",IF($D116&lt;&gt;"",INDEX(Checklist!$E$3:$E$149,MATCH(LEFT($B116,3),Checklist!$C$3:$C$149,0))&amp;" - "&amp;$D116,INDEX(Checklist!$E$3:$E$149,MATCH($A116,Checklist!$P$3:$P$149,0))))</f>
        <v/>
      </c>
      <c r="H116" s="28" t="str">
        <f>IF($A116="","",INDEX(Checklist!$G$3:$G$149,MATCH($A116,Checklist!$P$3:$P$149,0)))</f>
        <v/>
      </c>
      <c r="I116" s="30" t="str">
        <f>IF($A116="","",INDEX(Checklist!$N$3:$N$149,MATCH($A116,Checklist!$P$3:$P$149,0)))</f>
        <v/>
      </c>
      <c r="J116" s="27"/>
      <c r="K116" s="27"/>
      <c r="L116" s="29"/>
    </row>
    <row r="117" spans="1:12">
      <c r="A117" s="28" t="str">
        <f>IF(ROW()-4&lt;=COUNT(Checklist!$P$3:$P$149),ROW()-4,"")</f>
        <v/>
      </c>
      <c r="B117" s="28" t="str">
        <f>IF($A117="","",INDEX(Checklist!$C$3:$C$149,MATCH($A117,Checklist!$P$3:$P$149,0)))</f>
        <v/>
      </c>
      <c r="C117" s="28" t="str">
        <f>IF($A117="","",INDEX(Checklist!$B$3:$B$149,MATCH($A117,Checklist!$P$3:$P$149,0)))</f>
        <v/>
      </c>
      <c r="D117" s="28" t="str">
        <f>IF($A117="","",IF(INDEX(Checklist!$A$3:$A$149,MATCH($A117,Checklist!$P$3:$P$149,0))=7,IFERROR(LEFT(INDEX(Checklist!$E$3:$E$149,MATCH($A117,Checklist!$P$3:$P$149,0)),FIND(CHAR(10),INDEX(Checklist!$E$3:$E$149,MATCH($A117,Checklist!$P$3:$P$149,0)))-1),INDEX(Checklist!$E$3:$E$149,MATCH($A117,Checklist!$P$3:$P$149,0))),""))</f>
        <v/>
      </c>
      <c r="E117" s="28" t="str">
        <f>IF($A117="","",INDEX(Checklist!$D$3:$D$149,MATCH($A117,Checklist!$P$3:$P$149,0)))</f>
        <v/>
      </c>
      <c r="F117" s="28" t="str">
        <f>IF($A117="","",INDEX(Checklist!$F$3:$F$149,MATCH($A117,Checklist!$P$3:$P$149,0)))</f>
        <v/>
      </c>
      <c r="G117" s="28" t="str">
        <f>IF($A117="","",IF($D117&lt;&gt;"",INDEX(Checklist!$E$3:$E$149,MATCH(LEFT($B117,3),Checklist!$C$3:$C$149,0))&amp;" - "&amp;$D117,INDEX(Checklist!$E$3:$E$149,MATCH($A117,Checklist!$P$3:$P$149,0))))</f>
        <v/>
      </c>
      <c r="H117" s="28" t="str">
        <f>IF($A117="","",INDEX(Checklist!$G$3:$G$149,MATCH($A117,Checklist!$P$3:$P$149,0)))</f>
        <v/>
      </c>
      <c r="I117" s="30" t="str">
        <f>IF($A117="","",INDEX(Checklist!$N$3:$N$149,MATCH($A117,Checklist!$P$3:$P$149,0)))</f>
        <v/>
      </c>
      <c r="J117" s="27"/>
      <c r="K117" s="27"/>
      <c r="L117" s="29"/>
    </row>
    <row r="118" spans="1:12">
      <c r="A118" s="28" t="str">
        <f>IF(ROW()-4&lt;=COUNT(Checklist!$P$3:$P$149),ROW()-4,"")</f>
        <v/>
      </c>
      <c r="B118" s="28" t="str">
        <f>IF($A118="","",INDEX(Checklist!$C$3:$C$149,MATCH($A118,Checklist!$P$3:$P$149,0)))</f>
        <v/>
      </c>
      <c r="C118" s="28" t="str">
        <f>IF($A118="","",INDEX(Checklist!$B$3:$B$149,MATCH($A118,Checklist!$P$3:$P$149,0)))</f>
        <v/>
      </c>
      <c r="D118" s="28" t="str">
        <f>IF($A118="","",IF(INDEX(Checklist!$A$3:$A$149,MATCH($A118,Checklist!$P$3:$P$149,0))=7,IFERROR(LEFT(INDEX(Checklist!$E$3:$E$149,MATCH($A118,Checklist!$P$3:$P$149,0)),FIND(CHAR(10),INDEX(Checklist!$E$3:$E$149,MATCH($A118,Checklist!$P$3:$P$149,0)))-1),INDEX(Checklist!$E$3:$E$149,MATCH($A118,Checklist!$P$3:$P$149,0))),""))</f>
        <v/>
      </c>
      <c r="E118" s="28" t="str">
        <f>IF($A118="","",INDEX(Checklist!$D$3:$D$149,MATCH($A118,Checklist!$P$3:$P$149,0)))</f>
        <v/>
      </c>
      <c r="F118" s="28" t="str">
        <f>IF($A118="","",INDEX(Checklist!$F$3:$F$149,MATCH($A118,Checklist!$P$3:$P$149,0)))</f>
        <v/>
      </c>
      <c r="G118" s="28" t="str">
        <f>IF($A118="","",IF($D118&lt;&gt;"",INDEX(Checklist!$E$3:$E$149,MATCH(LEFT($B118,3),Checklist!$C$3:$C$149,0))&amp;" - "&amp;$D118,INDEX(Checklist!$E$3:$E$149,MATCH($A118,Checklist!$P$3:$P$149,0))))</f>
        <v/>
      </c>
      <c r="H118" s="28" t="str">
        <f>IF($A118="","",INDEX(Checklist!$G$3:$G$149,MATCH($A118,Checklist!$P$3:$P$149,0)))</f>
        <v/>
      </c>
      <c r="I118" s="30" t="str">
        <f>IF($A118="","",INDEX(Checklist!$N$3:$N$149,MATCH($A118,Checklist!$P$3:$P$149,0)))</f>
        <v/>
      </c>
      <c r="J118" s="27"/>
      <c r="K118" s="27"/>
      <c r="L118" s="29"/>
    </row>
    <row r="119" spans="1:12">
      <c r="A119" s="28" t="str">
        <f>IF(ROW()-4&lt;=COUNT(Checklist!$P$3:$P$149),ROW()-4,"")</f>
        <v/>
      </c>
      <c r="B119" s="28" t="str">
        <f>IF($A119="","",INDEX(Checklist!$C$3:$C$149,MATCH($A119,Checklist!$P$3:$P$149,0)))</f>
        <v/>
      </c>
      <c r="C119" s="28" t="str">
        <f>IF($A119="","",INDEX(Checklist!$B$3:$B$149,MATCH($A119,Checklist!$P$3:$P$149,0)))</f>
        <v/>
      </c>
      <c r="D119" s="28" t="str">
        <f>IF($A119="","",IF(INDEX(Checklist!$A$3:$A$149,MATCH($A119,Checklist!$P$3:$P$149,0))=7,IFERROR(LEFT(INDEX(Checklist!$E$3:$E$149,MATCH($A119,Checklist!$P$3:$P$149,0)),FIND(CHAR(10),INDEX(Checklist!$E$3:$E$149,MATCH($A119,Checklist!$P$3:$P$149,0)))-1),INDEX(Checklist!$E$3:$E$149,MATCH($A119,Checklist!$P$3:$P$149,0))),""))</f>
        <v/>
      </c>
      <c r="E119" s="28" t="str">
        <f>IF($A119="","",INDEX(Checklist!$D$3:$D$149,MATCH($A119,Checklist!$P$3:$P$149,0)))</f>
        <v/>
      </c>
      <c r="F119" s="28" t="str">
        <f>IF($A119="","",INDEX(Checklist!$F$3:$F$149,MATCH($A119,Checklist!$P$3:$P$149,0)))</f>
        <v/>
      </c>
      <c r="G119" s="28" t="str">
        <f>IF($A119="","",IF($D119&lt;&gt;"",INDEX(Checklist!$E$3:$E$149,MATCH(LEFT($B119,3),Checklist!$C$3:$C$149,0))&amp;" - "&amp;$D119,INDEX(Checklist!$E$3:$E$149,MATCH($A119,Checklist!$P$3:$P$149,0))))</f>
        <v/>
      </c>
      <c r="H119" s="28" t="str">
        <f>IF($A119="","",INDEX(Checklist!$G$3:$G$149,MATCH($A119,Checklist!$P$3:$P$149,0)))</f>
        <v/>
      </c>
      <c r="I119" s="30" t="str">
        <f>IF($A119="","",INDEX(Checklist!$N$3:$N$149,MATCH($A119,Checklist!$P$3:$P$149,0)))</f>
        <v/>
      </c>
      <c r="J119" s="27"/>
      <c r="K119" s="27"/>
      <c r="L119" s="29"/>
    </row>
    <row r="120" spans="1:12">
      <c r="A120" s="28" t="str">
        <f>IF(ROW()-4&lt;=COUNT(Checklist!$P$3:$P$149),ROW()-4,"")</f>
        <v/>
      </c>
      <c r="B120" s="28" t="str">
        <f>IF($A120="","",INDEX(Checklist!$C$3:$C$149,MATCH($A120,Checklist!$P$3:$P$149,0)))</f>
        <v/>
      </c>
      <c r="C120" s="28" t="str">
        <f>IF($A120="","",INDEX(Checklist!$B$3:$B$149,MATCH($A120,Checklist!$P$3:$P$149,0)))</f>
        <v/>
      </c>
      <c r="D120" s="28" t="str">
        <f>IF($A120="","",IF(INDEX(Checklist!$A$3:$A$149,MATCH($A120,Checklist!$P$3:$P$149,0))=7,IFERROR(LEFT(INDEX(Checklist!$E$3:$E$149,MATCH($A120,Checklist!$P$3:$P$149,0)),FIND(CHAR(10),INDEX(Checklist!$E$3:$E$149,MATCH($A120,Checklist!$P$3:$P$149,0)))-1),INDEX(Checklist!$E$3:$E$149,MATCH($A120,Checklist!$P$3:$P$149,0))),""))</f>
        <v/>
      </c>
      <c r="E120" s="28" t="str">
        <f>IF($A120="","",INDEX(Checklist!$D$3:$D$149,MATCH($A120,Checklist!$P$3:$P$149,0)))</f>
        <v/>
      </c>
      <c r="F120" s="28" t="str">
        <f>IF($A120="","",INDEX(Checklist!$F$3:$F$149,MATCH($A120,Checklist!$P$3:$P$149,0)))</f>
        <v/>
      </c>
      <c r="G120" s="28" t="str">
        <f>IF($A120="","",IF($D120&lt;&gt;"",INDEX(Checklist!$E$3:$E$149,MATCH(LEFT($B120,3),Checklist!$C$3:$C$149,0))&amp;" - "&amp;$D120,INDEX(Checklist!$E$3:$E$149,MATCH($A120,Checklist!$P$3:$P$149,0))))</f>
        <v/>
      </c>
      <c r="H120" s="28" t="str">
        <f>IF($A120="","",INDEX(Checklist!$G$3:$G$149,MATCH($A120,Checklist!$P$3:$P$149,0)))</f>
        <v/>
      </c>
      <c r="I120" s="30" t="str">
        <f>IF($A120="","",INDEX(Checklist!$N$3:$N$149,MATCH($A120,Checklist!$P$3:$P$149,0)))</f>
        <v/>
      </c>
      <c r="J120" s="27"/>
      <c r="K120" s="27"/>
      <c r="L120" s="29"/>
    </row>
    <row r="121" spans="1:12">
      <c r="A121" s="28" t="str">
        <f>IF(ROW()-4&lt;=COUNT(Checklist!$P$3:$P$149),ROW()-4,"")</f>
        <v/>
      </c>
      <c r="B121" s="28" t="str">
        <f>IF($A121="","",INDEX(Checklist!$C$3:$C$149,MATCH($A121,Checklist!$P$3:$P$149,0)))</f>
        <v/>
      </c>
      <c r="C121" s="28" t="str">
        <f>IF($A121="","",INDEX(Checklist!$B$3:$B$149,MATCH($A121,Checklist!$P$3:$P$149,0)))</f>
        <v/>
      </c>
      <c r="D121" s="28" t="str">
        <f>IF($A121="","",IF(INDEX(Checklist!$A$3:$A$149,MATCH($A121,Checklist!$P$3:$P$149,0))=7,IFERROR(LEFT(INDEX(Checklist!$E$3:$E$149,MATCH($A121,Checklist!$P$3:$P$149,0)),FIND(CHAR(10),INDEX(Checklist!$E$3:$E$149,MATCH($A121,Checklist!$P$3:$P$149,0)))-1),INDEX(Checklist!$E$3:$E$149,MATCH($A121,Checklist!$P$3:$P$149,0))),""))</f>
        <v/>
      </c>
      <c r="E121" s="28" t="str">
        <f>IF($A121="","",INDEX(Checklist!$D$3:$D$149,MATCH($A121,Checklist!$P$3:$P$149,0)))</f>
        <v/>
      </c>
      <c r="F121" s="28" t="str">
        <f>IF($A121="","",INDEX(Checklist!$F$3:$F$149,MATCH($A121,Checklist!$P$3:$P$149,0)))</f>
        <v/>
      </c>
      <c r="G121" s="28" t="str">
        <f>IF($A121="","",IF($D121&lt;&gt;"",INDEX(Checklist!$E$3:$E$149,MATCH(LEFT($B121,3),Checklist!$C$3:$C$149,0))&amp;" - "&amp;$D121,INDEX(Checklist!$E$3:$E$149,MATCH($A121,Checklist!$P$3:$P$149,0))))</f>
        <v/>
      </c>
      <c r="H121" s="28" t="str">
        <f>IF($A121="","",INDEX(Checklist!$G$3:$G$149,MATCH($A121,Checklist!$P$3:$P$149,0)))</f>
        <v/>
      </c>
      <c r="I121" s="30" t="str">
        <f>IF($A121="","",INDEX(Checklist!$N$3:$N$149,MATCH($A121,Checklist!$P$3:$P$149,0)))</f>
        <v/>
      </c>
      <c r="J121" s="27"/>
      <c r="K121" s="27"/>
      <c r="L121" s="29"/>
    </row>
    <row r="122" spans="1:12">
      <c r="A122" s="28" t="str">
        <f>IF(ROW()-4&lt;=COUNT(Checklist!$P$3:$P$149),ROW()-4,"")</f>
        <v/>
      </c>
      <c r="B122" s="28" t="str">
        <f>IF($A122="","",INDEX(Checklist!$C$3:$C$149,MATCH($A122,Checklist!$P$3:$P$149,0)))</f>
        <v/>
      </c>
      <c r="C122" s="28" t="str">
        <f>IF($A122="","",INDEX(Checklist!$B$3:$B$149,MATCH($A122,Checklist!$P$3:$P$149,0)))</f>
        <v/>
      </c>
      <c r="D122" s="28" t="str">
        <f>IF($A122="","",IF(INDEX(Checklist!$A$3:$A$149,MATCH($A122,Checklist!$P$3:$P$149,0))=7,IFERROR(LEFT(INDEX(Checklist!$E$3:$E$149,MATCH($A122,Checklist!$P$3:$P$149,0)),FIND(CHAR(10),INDEX(Checklist!$E$3:$E$149,MATCH($A122,Checklist!$P$3:$P$149,0)))-1),INDEX(Checklist!$E$3:$E$149,MATCH($A122,Checklist!$P$3:$P$149,0))),""))</f>
        <v/>
      </c>
      <c r="E122" s="28" t="str">
        <f>IF($A122="","",INDEX(Checklist!$D$3:$D$149,MATCH($A122,Checklist!$P$3:$P$149,0)))</f>
        <v/>
      </c>
      <c r="F122" s="28" t="str">
        <f>IF($A122="","",INDEX(Checklist!$F$3:$F$149,MATCH($A122,Checklist!$P$3:$P$149,0)))</f>
        <v/>
      </c>
      <c r="G122" s="28" t="str">
        <f>IF($A122="","",IF($D122&lt;&gt;"",INDEX(Checklist!$E$3:$E$149,MATCH(LEFT($B122,3),Checklist!$C$3:$C$149,0))&amp;" - "&amp;$D122,INDEX(Checklist!$E$3:$E$149,MATCH($A122,Checklist!$P$3:$P$149,0))))</f>
        <v/>
      </c>
      <c r="H122" s="28" t="str">
        <f>IF($A122="","",INDEX(Checklist!$G$3:$G$149,MATCH($A122,Checklist!$P$3:$P$149,0)))</f>
        <v/>
      </c>
      <c r="I122" s="30" t="str">
        <f>IF($A122="","",INDEX(Checklist!$N$3:$N$149,MATCH($A122,Checklist!$P$3:$P$149,0)))</f>
        <v/>
      </c>
      <c r="J122" s="27"/>
      <c r="K122" s="27"/>
      <c r="L122" s="29"/>
    </row>
    <row r="123" spans="1:12">
      <c r="A123" s="28" t="str">
        <f>IF(ROW()-4&lt;=COUNT(Checklist!$P$3:$P$149),ROW()-4,"")</f>
        <v/>
      </c>
      <c r="B123" s="28" t="str">
        <f>IF($A123="","",INDEX(Checklist!$C$3:$C$149,MATCH($A123,Checklist!$P$3:$P$149,0)))</f>
        <v/>
      </c>
      <c r="C123" s="28" t="str">
        <f>IF($A123="","",INDEX(Checklist!$B$3:$B$149,MATCH($A123,Checklist!$P$3:$P$149,0)))</f>
        <v/>
      </c>
      <c r="D123" s="28" t="str">
        <f>IF($A123="","",IF(INDEX(Checklist!$A$3:$A$149,MATCH($A123,Checklist!$P$3:$P$149,0))=7,IFERROR(LEFT(INDEX(Checklist!$E$3:$E$149,MATCH($A123,Checklist!$P$3:$P$149,0)),FIND(CHAR(10),INDEX(Checklist!$E$3:$E$149,MATCH($A123,Checklist!$P$3:$P$149,0)))-1),INDEX(Checklist!$E$3:$E$149,MATCH($A123,Checklist!$P$3:$P$149,0))),""))</f>
        <v/>
      </c>
      <c r="E123" s="28" t="str">
        <f>IF($A123="","",INDEX(Checklist!$D$3:$D$149,MATCH($A123,Checklist!$P$3:$P$149,0)))</f>
        <v/>
      </c>
      <c r="F123" s="28" t="str">
        <f>IF($A123="","",INDEX(Checklist!$F$3:$F$149,MATCH($A123,Checklist!$P$3:$P$149,0)))</f>
        <v/>
      </c>
      <c r="G123" s="28" t="str">
        <f>IF($A123="","",IF($D123&lt;&gt;"",INDEX(Checklist!$E$3:$E$149,MATCH(LEFT($B123,3),Checklist!$C$3:$C$149,0))&amp;" - "&amp;$D123,INDEX(Checklist!$E$3:$E$149,MATCH($A123,Checklist!$P$3:$P$149,0))))</f>
        <v/>
      </c>
      <c r="H123" s="28" t="str">
        <f>IF($A123="","",INDEX(Checklist!$G$3:$G$149,MATCH($A123,Checklist!$P$3:$P$149,0)))</f>
        <v/>
      </c>
      <c r="I123" s="30" t="str">
        <f>IF($A123="","",INDEX(Checklist!$N$3:$N$149,MATCH($A123,Checklist!$P$3:$P$149,0)))</f>
        <v/>
      </c>
      <c r="J123" s="27"/>
      <c r="K123" s="27"/>
      <c r="L123" s="29"/>
    </row>
    <row r="124" spans="1:12">
      <c r="A124" s="28" t="str">
        <f>IF(ROW()-4&lt;=COUNT(Checklist!$P$3:$P$149),ROW()-4,"")</f>
        <v/>
      </c>
      <c r="B124" s="28" t="str">
        <f>IF($A124="","",INDEX(Checklist!$C$3:$C$149,MATCH($A124,Checklist!$P$3:$P$149,0)))</f>
        <v/>
      </c>
      <c r="C124" s="28" t="str">
        <f>IF($A124="","",INDEX(Checklist!$B$3:$B$149,MATCH($A124,Checklist!$P$3:$P$149,0)))</f>
        <v/>
      </c>
      <c r="D124" s="28" t="str">
        <f>IF($A124="","",IF(INDEX(Checklist!$A$3:$A$149,MATCH($A124,Checklist!$P$3:$P$149,0))=7,IFERROR(LEFT(INDEX(Checklist!$E$3:$E$149,MATCH($A124,Checklist!$P$3:$P$149,0)),FIND(CHAR(10),INDEX(Checklist!$E$3:$E$149,MATCH($A124,Checklist!$P$3:$P$149,0)))-1),INDEX(Checklist!$E$3:$E$149,MATCH($A124,Checklist!$P$3:$P$149,0))),""))</f>
        <v/>
      </c>
      <c r="E124" s="28" t="str">
        <f>IF($A124="","",INDEX(Checklist!$D$3:$D$149,MATCH($A124,Checklist!$P$3:$P$149,0)))</f>
        <v/>
      </c>
      <c r="F124" s="28" t="str">
        <f>IF($A124="","",INDEX(Checklist!$F$3:$F$149,MATCH($A124,Checklist!$P$3:$P$149,0)))</f>
        <v/>
      </c>
      <c r="G124" s="28" t="str">
        <f>IF($A124="","",IF($D124&lt;&gt;"",INDEX(Checklist!$E$3:$E$149,MATCH(LEFT($B124,3),Checklist!$C$3:$C$149,0))&amp;" - "&amp;$D124,INDEX(Checklist!$E$3:$E$149,MATCH($A124,Checklist!$P$3:$P$149,0))))</f>
        <v/>
      </c>
      <c r="H124" s="28" t="str">
        <f>IF($A124="","",INDEX(Checklist!$G$3:$G$149,MATCH($A124,Checklist!$P$3:$P$149,0)))</f>
        <v/>
      </c>
      <c r="I124" s="30" t="str">
        <f>IF($A124="","",INDEX(Checklist!$N$3:$N$149,MATCH($A124,Checklist!$P$3:$P$149,0)))</f>
        <v/>
      </c>
      <c r="J124" s="27"/>
      <c r="K124" s="27"/>
      <c r="L124" s="29"/>
    </row>
    <row r="125" spans="1:12">
      <c r="A125" s="28" t="str">
        <f>IF(ROW()-4&lt;=COUNT(Checklist!$P$3:$P$149),ROW()-4,"")</f>
        <v/>
      </c>
      <c r="B125" s="28" t="str">
        <f>IF($A125="","",INDEX(Checklist!$C$3:$C$149,MATCH($A125,Checklist!$P$3:$P$149,0)))</f>
        <v/>
      </c>
      <c r="C125" s="28" t="str">
        <f>IF($A125="","",INDEX(Checklist!$B$3:$B$149,MATCH($A125,Checklist!$P$3:$P$149,0)))</f>
        <v/>
      </c>
      <c r="D125" s="28" t="str">
        <f>IF($A125="","",IF(INDEX(Checklist!$A$3:$A$149,MATCH($A125,Checklist!$P$3:$P$149,0))=7,IFERROR(LEFT(INDEX(Checklist!$E$3:$E$149,MATCH($A125,Checklist!$P$3:$P$149,0)),FIND(CHAR(10),INDEX(Checklist!$E$3:$E$149,MATCH($A125,Checklist!$P$3:$P$149,0)))-1),INDEX(Checklist!$E$3:$E$149,MATCH($A125,Checklist!$P$3:$P$149,0))),""))</f>
        <v/>
      </c>
      <c r="E125" s="28" t="str">
        <f>IF($A125="","",INDEX(Checklist!$D$3:$D$149,MATCH($A125,Checklist!$P$3:$P$149,0)))</f>
        <v/>
      </c>
      <c r="F125" s="28" t="str">
        <f>IF($A125="","",INDEX(Checklist!$F$3:$F$149,MATCH($A125,Checklist!$P$3:$P$149,0)))</f>
        <v/>
      </c>
      <c r="G125" s="28" t="str">
        <f>IF($A125="","",IF($D125&lt;&gt;"",INDEX(Checklist!$E$3:$E$149,MATCH(LEFT($B125,3),Checklist!$C$3:$C$149,0))&amp;" - "&amp;$D125,INDEX(Checklist!$E$3:$E$149,MATCH($A125,Checklist!$P$3:$P$149,0))))</f>
        <v/>
      </c>
      <c r="H125" s="28" t="str">
        <f>IF($A125="","",INDEX(Checklist!$G$3:$G$149,MATCH($A125,Checklist!$P$3:$P$149,0)))</f>
        <v/>
      </c>
      <c r="I125" s="30" t="str">
        <f>IF($A125="","",INDEX(Checklist!$N$3:$N$149,MATCH($A125,Checklist!$P$3:$P$149,0)))</f>
        <v/>
      </c>
      <c r="J125" s="27"/>
      <c r="K125" s="27"/>
      <c r="L125" s="29"/>
    </row>
    <row r="126" spans="1:12">
      <c r="A126" s="28" t="str">
        <f>IF(ROW()-4&lt;=COUNT(Checklist!$P$3:$P$149),ROW()-4,"")</f>
        <v/>
      </c>
      <c r="B126" s="28" t="str">
        <f>IF($A126="","",INDEX(Checklist!$C$3:$C$149,MATCH($A126,Checklist!$P$3:$P$149,0)))</f>
        <v/>
      </c>
      <c r="C126" s="28" t="str">
        <f>IF($A126="","",INDEX(Checklist!$B$3:$B$149,MATCH($A126,Checklist!$P$3:$P$149,0)))</f>
        <v/>
      </c>
      <c r="D126" s="28" t="str">
        <f>IF($A126="","",IF(INDEX(Checklist!$A$3:$A$149,MATCH($A126,Checklist!$P$3:$P$149,0))=7,IFERROR(LEFT(INDEX(Checklist!$E$3:$E$149,MATCH($A126,Checklist!$P$3:$P$149,0)),FIND(CHAR(10),INDEX(Checklist!$E$3:$E$149,MATCH($A126,Checklist!$P$3:$P$149,0)))-1),INDEX(Checklist!$E$3:$E$149,MATCH($A126,Checklist!$P$3:$P$149,0))),""))</f>
        <v/>
      </c>
      <c r="E126" s="28" t="str">
        <f>IF($A126="","",INDEX(Checklist!$D$3:$D$149,MATCH($A126,Checklist!$P$3:$P$149,0)))</f>
        <v/>
      </c>
      <c r="F126" s="28" t="str">
        <f>IF($A126="","",INDEX(Checklist!$F$3:$F$149,MATCH($A126,Checklist!$P$3:$P$149,0)))</f>
        <v/>
      </c>
      <c r="G126" s="28" t="str">
        <f>IF($A126="","",IF($D126&lt;&gt;"",INDEX(Checklist!$E$3:$E$149,MATCH(LEFT($B126,3),Checklist!$C$3:$C$149,0))&amp;" - "&amp;$D126,INDEX(Checklist!$E$3:$E$149,MATCH($A126,Checklist!$P$3:$P$149,0))))</f>
        <v/>
      </c>
      <c r="H126" s="28" t="str">
        <f>IF($A126="","",INDEX(Checklist!$G$3:$G$149,MATCH($A126,Checklist!$P$3:$P$149,0)))</f>
        <v/>
      </c>
      <c r="I126" s="30" t="str">
        <f>IF($A126="","",INDEX(Checklist!$N$3:$N$149,MATCH($A126,Checklist!$P$3:$P$149,0)))</f>
        <v/>
      </c>
      <c r="J126" s="27"/>
      <c r="K126" s="27"/>
      <c r="L126" s="29"/>
    </row>
    <row r="127" spans="1:12">
      <c r="A127" s="28" t="str">
        <f>IF(ROW()-4&lt;=COUNT(Checklist!$P$3:$P$149),ROW()-4,"")</f>
        <v/>
      </c>
      <c r="B127" s="28" t="str">
        <f>IF($A127="","",INDEX(Checklist!$C$3:$C$149,MATCH($A127,Checklist!$P$3:$P$149,0)))</f>
        <v/>
      </c>
      <c r="C127" s="28" t="str">
        <f>IF($A127="","",INDEX(Checklist!$B$3:$B$149,MATCH($A127,Checklist!$P$3:$P$149,0)))</f>
        <v/>
      </c>
      <c r="D127" s="28" t="str">
        <f>IF($A127="","",IF(INDEX(Checklist!$A$3:$A$149,MATCH($A127,Checklist!$P$3:$P$149,0))=7,IFERROR(LEFT(INDEX(Checklist!$E$3:$E$149,MATCH($A127,Checklist!$P$3:$P$149,0)),FIND(CHAR(10),INDEX(Checklist!$E$3:$E$149,MATCH($A127,Checklist!$P$3:$P$149,0)))-1),INDEX(Checklist!$E$3:$E$149,MATCH($A127,Checklist!$P$3:$P$149,0))),""))</f>
        <v/>
      </c>
      <c r="E127" s="28" t="str">
        <f>IF($A127="","",INDEX(Checklist!$D$3:$D$149,MATCH($A127,Checklist!$P$3:$P$149,0)))</f>
        <v/>
      </c>
      <c r="F127" s="28" t="str">
        <f>IF($A127="","",INDEX(Checklist!$F$3:$F$149,MATCH($A127,Checklist!$P$3:$P$149,0)))</f>
        <v/>
      </c>
      <c r="G127" s="28" t="str">
        <f>IF($A127="","",IF($D127&lt;&gt;"",INDEX(Checklist!$E$3:$E$149,MATCH(LEFT($B127,3),Checklist!$C$3:$C$149,0))&amp;" - "&amp;$D127,INDEX(Checklist!$E$3:$E$149,MATCH($A127,Checklist!$P$3:$P$149,0))))</f>
        <v/>
      </c>
      <c r="H127" s="28" t="str">
        <f>IF($A127="","",INDEX(Checklist!$G$3:$G$149,MATCH($A127,Checklist!$P$3:$P$149,0)))</f>
        <v/>
      </c>
      <c r="I127" s="30" t="str">
        <f>IF($A127="","",INDEX(Checklist!$N$3:$N$149,MATCH($A127,Checklist!$P$3:$P$149,0)))</f>
        <v/>
      </c>
      <c r="J127" s="27"/>
      <c r="K127" s="27"/>
      <c r="L127" s="29"/>
    </row>
    <row r="128" spans="1:12">
      <c r="A128" s="28" t="str">
        <f>IF(ROW()-4&lt;=COUNT(Checklist!$P$3:$P$149),ROW()-4,"")</f>
        <v/>
      </c>
      <c r="B128" s="28" t="str">
        <f>IF($A128="","",INDEX(Checklist!$C$3:$C$149,MATCH($A128,Checklist!$P$3:$P$149,0)))</f>
        <v/>
      </c>
      <c r="C128" s="28" t="str">
        <f>IF($A128="","",INDEX(Checklist!$B$3:$B$149,MATCH($A128,Checklist!$P$3:$P$149,0)))</f>
        <v/>
      </c>
      <c r="D128" s="28" t="str">
        <f>IF($A128="","",IF(INDEX(Checklist!$A$3:$A$149,MATCH($A128,Checklist!$P$3:$P$149,0))=7,IFERROR(LEFT(INDEX(Checklist!$E$3:$E$149,MATCH($A128,Checklist!$P$3:$P$149,0)),FIND(CHAR(10),INDEX(Checklist!$E$3:$E$149,MATCH($A128,Checklist!$P$3:$P$149,0)))-1),INDEX(Checklist!$E$3:$E$149,MATCH($A128,Checklist!$P$3:$P$149,0))),""))</f>
        <v/>
      </c>
      <c r="E128" s="28" t="str">
        <f>IF($A128="","",INDEX(Checklist!$D$3:$D$149,MATCH($A128,Checklist!$P$3:$P$149,0)))</f>
        <v/>
      </c>
      <c r="F128" s="28" t="str">
        <f>IF($A128="","",INDEX(Checklist!$F$3:$F$149,MATCH($A128,Checklist!$P$3:$P$149,0)))</f>
        <v/>
      </c>
      <c r="G128" s="28" t="str">
        <f>IF($A128="","",IF($D128&lt;&gt;"",INDEX(Checklist!$E$3:$E$149,MATCH(LEFT($B128,3),Checklist!$C$3:$C$149,0))&amp;" - "&amp;$D128,INDEX(Checklist!$E$3:$E$149,MATCH($A128,Checklist!$P$3:$P$149,0))))</f>
        <v/>
      </c>
      <c r="H128" s="28" t="str">
        <f>IF($A128="","",INDEX(Checklist!$G$3:$G$149,MATCH($A128,Checklist!$P$3:$P$149,0)))</f>
        <v/>
      </c>
      <c r="I128" s="30" t="str">
        <f>IF($A128="","",INDEX(Checklist!$N$3:$N$149,MATCH($A128,Checklist!$P$3:$P$149,0)))</f>
        <v/>
      </c>
      <c r="J128" s="27"/>
      <c r="K128" s="27"/>
      <c r="L128" s="29"/>
    </row>
    <row r="129" spans="1:12">
      <c r="A129" s="28" t="str">
        <f>IF(ROW()-4&lt;=COUNT(Checklist!$P$3:$P$149),ROW()-4,"")</f>
        <v/>
      </c>
      <c r="B129" s="28" t="str">
        <f>IF($A129="","",INDEX(Checklist!$C$3:$C$149,MATCH($A129,Checklist!$P$3:$P$149,0)))</f>
        <v/>
      </c>
      <c r="C129" s="28" t="str">
        <f>IF($A129="","",INDEX(Checklist!$B$3:$B$149,MATCH($A129,Checklist!$P$3:$P$149,0)))</f>
        <v/>
      </c>
      <c r="D129" s="28" t="str">
        <f>IF($A129="","",IF(INDEX(Checklist!$A$3:$A$149,MATCH($A129,Checklist!$P$3:$P$149,0))=7,IFERROR(LEFT(INDEX(Checklist!$E$3:$E$149,MATCH($A129,Checklist!$P$3:$P$149,0)),FIND(CHAR(10),INDEX(Checklist!$E$3:$E$149,MATCH($A129,Checklist!$P$3:$P$149,0)))-1),INDEX(Checklist!$E$3:$E$149,MATCH($A129,Checklist!$P$3:$P$149,0))),""))</f>
        <v/>
      </c>
      <c r="E129" s="28" t="str">
        <f>IF($A129="","",INDEX(Checklist!$D$3:$D$149,MATCH($A129,Checklist!$P$3:$P$149,0)))</f>
        <v/>
      </c>
      <c r="F129" s="28" t="str">
        <f>IF($A129="","",INDEX(Checklist!$F$3:$F$149,MATCH($A129,Checklist!$P$3:$P$149,0)))</f>
        <v/>
      </c>
      <c r="G129" s="28" t="str">
        <f>IF($A129="","",IF($D129&lt;&gt;"",INDEX(Checklist!$E$3:$E$149,MATCH(LEFT($B129,3),Checklist!$C$3:$C$149,0))&amp;" - "&amp;$D129,INDEX(Checklist!$E$3:$E$149,MATCH($A129,Checklist!$P$3:$P$149,0))))</f>
        <v/>
      </c>
      <c r="H129" s="28" t="str">
        <f>IF($A129="","",INDEX(Checklist!$G$3:$G$149,MATCH($A129,Checklist!$P$3:$P$149,0)))</f>
        <v/>
      </c>
      <c r="I129" s="30" t="str">
        <f>IF($A129="","",INDEX(Checklist!$N$3:$N$149,MATCH($A129,Checklist!$P$3:$P$149,0)))</f>
        <v/>
      </c>
      <c r="J129" s="27"/>
      <c r="K129" s="27"/>
      <c r="L129" s="29"/>
    </row>
    <row r="130" spans="1:12">
      <c r="A130" s="28" t="str">
        <f>IF(ROW()-4&lt;=COUNT(Checklist!$P$3:$P$149),ROW()-4,"")</f>
        <v/>
      </c>
      <c r="B130" s="28" t="str">
        <f>IF($A130="","",INDEX(Checklist!$C$3:$C$149,MATCH($A130,Checklist!$P$3:$P$149,0)))</f>
        <v/>
      </c>
      <c r="C130" s="28" t="str">
        <f>IF($A130="","",INDEX(Checklist!$B$3:$B$149,MATCH($A130,Checklist!$P$3:$P$149,0)))</f>
        <v/>
      </c>
      <c r="D130" s="28" t="str">
        <f>IF($A130="","",IF(INDEX(Checklist!$A$3:$A$149,MATCH($A130,Checklist!$P$3:$P$149,0))=7,IFERROR(LEFT(INDEX(Checklist!$E$3:$E$149,MATCH($A130,Checklist!$P$3:$P$149,0)),FIND(CHAR(10),INDEX(Checklist!$E$3:$E$149,MATCH($A130,Checklist!$P$3:$P$149,0)))-1),INDEX(Checklist!$E$3:$E$149,MATCH($A130,Checklist!$P$3:$P$149,0))),""))</f>
        <v/>
      </c>
      <c r="E130" s="28" t="str">
        <f>IF($A130="","",INDEX(Checklist!$D$3:$D$149,MATCH($A130,Checklist!$P$3:$P$149,0)))</f>
        <v/>
      </c>
      <c r="F130" s="28" t="str">
        <f>IF($A130="","",INDEX(Checklist!$F$3:$F$149,MATCH($A130,Checklist!$P$3:$P$149,0)))</f>
        <v/>
      </c>
      <c r="G130" s="28" t="str">
        <f>IF($A130="","",IF($D130&lt;&gt;"",INDEX(Checklist!$E$3:$E$149,MATCH(LEFT($B130,3),Checklist!$C$3:$C$149,0))&amp;" - "&amp;$D130,INDEX(Checklist!$E$3:$E$149,MATCH($A130,Checklist!$P$3:$P$149,0))))</f>
        <v/>
      </c>
      <c r="H130" s="28" t="str">
        <f>IF($A130="","",INDEX(Checklist!$G$3:$G$149,MATCH($A130,Checklist!$P$3:$P$149,0)))</f>
        <v/>
      </c>
      <c r="I130" s="30" t="str">
        <f>IF($A130="","",INDEX(Checklist!$N$3:$N$149,MATCH($A130,Checklist!$P$3:$P$149,0)))</f>
        <v/>
      </c>
      <c r="J130" s="27"/>
      <c r="K130" s="27"/>
      <c r="L130" s="29"/>
    </row>
    <row r="131" spans="1:12">
      <c r="A131" s="28" t="str">
        <f>IF(ROW()-4&lt;=COUNT(Checklist!$P$3:$P$149),ROW()-4,"")</f>
        <v/>
      </c>
      <c r="B131" s="28" t="str">
        <f>IF($A131="","",INDEX(Checklist!$C$3:$C$149,MATCH($A131,Checklist!$P$3:$P$149,0)))</f>
        <v/>
      </c>
      <c r="C131" s="28" t="str">
        <f>IF($A131="","",INDEX(Checklist!$B$3:$B$149,MATCH($A131,Checklist!$P$3:$P$149,0)))</f>
        <v/>
      </c>
      <c r="D131" s="28" t="str">
        <f>IF($A131="","",IF(INDEX(Checklist!$A$3:$A$149,MATCH($A131,Checklist!$P$3:$P$149,0))=7,IFERROR(LEFT(INDEX(Checklist!$E$3:$E$149,MATCH($A131,Checklist!$P$3:$P$149,0)),FIND(CHAR(10),INDEX(Checklist!$E$3:$E$149,MATCH($A131,Checklist!$P$3:$P$149,0)))-1),INDEX(Checklist!$E$3:$E$149,MATCH($A131,Checklist!$P$3:$P$149,0))),""))</f>
        <v/>
      </c>
      <c r="E131" s="28" t="str">
        <f>IF($A131="","",INDEX(Checklist!$D$3:$D$149,MATCH($A131,Checklist!$P$3:$P$149,0)))</f>
        <v/>
      </c>
      <c r="F131" s="28" t="str">
        <f>IF($A131="","",INDEX(Checklist!$F$3:$F$149,MATCH($A131,Checklist!$P$3:$P$149,0)))</f>
        <v/>
      </c>
      <c r="G131" s="28" t="str">
        <f>IF($A131="","",IF($D131&lt;&gt;"",INDEX(Checklist!$E$3:$E$149,MATCH(LEFT($B131,3),Checklist!$C$3:$C$149,0))&amp;" - "&amp;$D131,INDEX(Checklist!$E$3:$E$149,MATCH($A131,Checklist!$P$3:$P$149,0))))</f>
        <v/>
      </c>
      <c r="H131" s="28" t="str">
        <f>IF($A131="","",INDEX(Checklist!$G$3:$G$149,MATCH($A131,Checklist!$P$3:$P$149,0)))</f>
        <v/>
      </c>
      <c r="I131" s="30" t="str">
        <f>IF($A131="","",INDEX(Checklist!$N$3:$N$149,MATCH($A131,Checklist!$P$3:$P$149,0)))</f>
        <v/>
      </c>
      <c r="J131" s="27"/>
      <c r="K131" s="27"/>
      <c r="L131" s="29"/>
    </row>
    <row r="132" spans="1:12">
      <c r="A132" s="28" t="str">
        <f>IF(ROW()-4&lt;=COUNT(Checklist!$P$3:$P$149),ROW()-4,"")</f>
        <v/>
      </c>
      <c r="B132" s="28" t="str">
        <f>IF($A132="","",INDEX(Checklist!$C$3:$C$149,MATCH($A132,Checklist!$P$3:$P$149,0)))</f>
        <v/>
      </c>
      <c r="C132" s="28" t="str">
        <f>IF($A132="","",INDEX(Checklist!$B$3:$B$149,MATCH($A132,Checklist!$P$3:$P$149,0)))</f>
        <v/>
      </c>
      <c r="D132" s="28" t="str">
        <f>IF($A132="","",IF(INDEX(Checklist!$A$3:$A$149,MATCH($A132,Checklist!$P$3:$P$149,0))=7,IFERROR(LEFT(INDEX(Checklist!$E$3:$E$149,MATCH($A132,Checklist!$P$3:$P$149,0)),FIND(CHAR(10),INDEX(Checklist!$E$3:$E$149,MATCH($A132,Checklist!$P$3:$P$149,0)))-1),INDEX(Checklist!$E$3:$E$149,MATCH($A132,Checklist!$P$3:$P$149,0))),""))</f>
        <v/>
      </c>
      <c r="E132" s="28" t="str">
        <f>IF($A132="","",INDEX(Checklist!$D$3:$D$149,MATCH($A132,Checklist!$P$3:$P$149,0)))</f>
        <v/>
      </c>
      <c r="F132" s="28" t="str">
        <f>IF($A132="","",INDEX(Checklist!$F$3:$F$149,MATCH($A132,Checklist!$P$3:$P$149,0)))</f>
        <v/>
      </c>
      <c r="G132" s="28" t="str">
        <f>IF($A132="","",IF($D132&lt;&gt;"",INDEX(Checklist!$E$3:$E$149,MATCH(LEFT($B132,3),Checklist!$C$3:$C$149,0))&amp;" - "&amp;$D132,INDEX(Checklist!$E$3:$E$149,MATCH($A132,Checklist!$P$3:$P$149,0))))</f>
        <v/>
      </c>
      <c r="H132" s="28" t="str">
        <f>IF($A132="","",INDEX(Checklist!$G$3:$G$149,MATCH($A132,Checklist!$P$3:$P$149,0)))</f>
        <v/>
      </c>
      <c r="I132" s="30" t="str">
        <f>IF($A132="","",INDEX(Checklist!$N$3:$N$149,MATCH($A132,Checklist!$P$3:$P$149,0)))</f>
        <v/>
      </c>
      <c r="J132" s="27"/>
      <c r="K132" s="27"/>
      <c r="L132" s="29"/>
    </row>
    <row r="133" spans="1:12">
      <c r="A133" s="28" t="str">
        <f>IF(ROW()-4&lt;=COUNT(Checklist!$P$3:$P$149),ROW()-4,"")</f>
        <v/>
      </c>
      <c r="B133" s="28" t="str">
        <f>IF($A133="","",INDEX(Checklist!$C$3:$C$149,MATCH($A133,Checklist!$P$3:$P$149,0)))</f>
        <v/>
      </c>
      <c r="C133" s="28" t="str">
        <f>IF($A133="","",INDEX(Checklist!$B$3:$B$149,MATCH($A133,Checklist!$P$3:$P$149,0)))</f>
        <v/>
      </c>
      <c r="D133" s="28" t="str">
        <f>IF($A133="","",IF(INDEX(Checklist!$A$3:$A$149,MATCH($A133,Checklist!$P$3:$P$149,0))=7,IFERROR(LEFT(INDEX(Checklist!$E$3:$E$149,MATCH($A133,Checklist!$P$3:$P$149,0)),FIND(CHAR(10),INDEX(Checklist!$E$3:$E$149,MATCH($A133,Checklist!$P$3:$P$149,0)))-1),INDEX(Checklist!$E$3:$E$149,MATCH($A133,Checklist!$P$3:$P$149,0))),""))</f>
        <v/>
      </c>
      <c r="E133" s="28" t="str">
        <f>IF($A133="","",INDEX(Checklist!$D$3:$D$149,MATCH($A133,Checklist!$P$3:$P$149,0)))</f>
        <v/>
      </c>
      <c r="F133" s="28" t="str">
        <f>IF($A133="","",INDEX(Checklist!$F$3:$F$149,MATCH($A133,Checklist!$P$3:$P$149,0)))</f>
        <v/>
      </c>
      <c r="G133" s="28" t="str">
        <f>IF($A133="","",IF($D133&lt;&gt;"",INDEX(Checklist!$E$3:$E$149,MATCH(LEFT($B133,3),Checklist!$C$3:$C$149,0))&amp;" - "&amp;$D133,INDEX(Checklist!$E$3:$E$149,MATCH($A133,Checklist!$P$3:$P$149,0))))</f>
        <v/>
      </c>
      <c r="H133" s="28" t="str">
        <f>IF($A133="","",INDEX(Checklist!$G$3:$G$149,MATCH($A133,Checklist!$P$3:$P$149,0)))</f>
        <v/>
      </c>
      <c r="I133" s="30" t="str">
        <f>IF($A133="","",INDEX(Checklist!$N$3:$N$149,MATCH($A133,Checklist!$P$3:$P$149,0)))</f>
        <v/>
      </c>
      <c r="J133" s="27"/>
      <c r="K133" s="27"/>
      <c r="L133" s="29"/>
    </row>
    <row r="134" spans="1:12">
      <c r="A134" s="28" t="str">
        <f>IF(ROW()-4&lt;=COUNT(Checklist!$P$3:$P$149),ROW()-4,"")</f>
        <v/>
      </c>
      <c r="B134" s="28" t="str">
        <f>IF($A134="","",INDEX(Checklist!$C$3:$C$149,MATCH($A134,Checklist!$P$3:$P$149,0)))</f>
        <v/>
      </c>
      <c r="C134" s="28" t="str">
        <f>IF($A134="","",INDEX(Checklist!$B$3:$B$149,MATCH($A134,Checklist!$P$3:$P$149,0)))</f>
        <v/>
      </c>
      <c r="D134" s="28" t="str">
        <f>IF($A134="","",IF(INDEX(Checklist!$A$3:$A$149,MATCH($A134,Checklist!$P$3:$P$149,0))=7,IFERROR(LEFT(INDEX(Checklist!$E$3:$E$149,MATCH($A134,Checklist!$P$3:$P$149,0)),FIND(CHAR(10),INDEX(Checklist!$E$3:$E$149,MATCH($A134,Checklist!$P$3:$P$149,0)))-1),INDEX(Checklist!$E$3:$E$149,MATCH($A134,Checklist!$P$3:$P$149,0))),""))</f>
        <v/>
      </c>
      <c r="E134" s="28" t="str">
        <f>IF($A134="","",INDEX(Checklist!$D$3:$D$149,MATCH($A134,Checklist!$P$3:$P$149,0)))</f>
        <v/>
      </c>
      <c r="F134" s="28" t="str">
        <f>IF($A134="","",INDEX(Checklist!$F$3:$F$149,MATCH($A134,Checklist!$P$3:$P$149,0)))</f>
        <v/>
      </c>
      <c r="G134" s="28" t="str">
        <f>IF($A134="","",IF($D134&lt;&gt;"",INDEX(Checklist!$E$3:$E$149,MATCH(LEFT($B134,3),Checklist!$C$3:$C$149,0))&amp;" - "&amp;$D134,INDEX(Checklist!$E$3:$E$149,MATCH($A134,Checklist!$P$3:$P$149,0))))</f>
        <v/>
      </c>
      <c r="H134" s="28" t="str">
        <f>IF($A134="","",INDEX(Checklist!$G$3:$G$149,MATCH($A134,Checklist!$P$3:$P$149,0)))</f>
        <v/>
      </c>
      <c r="I134" s="30" t="str">
        <f>IF($A134="","",INDEX(Checklist!$N$3:$N$149,MATCH($A134,Checklist!$P$3:$P$149,0)))</f>
        <v/>
      </c>
      <c r="J134" s="27"/>
      <c r="K134" s="27"/>
      <c r="L134" s="29"/>
    </row>
    <row r="135" spans="1:12">
      <c r="A135" s="28" t="str">
        <f>IF(ROW()-4&lt;=COUNT(Checklist!$P$3:$P$149),ROW()-4,"")</f>
        <v/>
      </c>
      <c r="B135" s="28" t="str">
        <f>IF($A135="","",INDEX(Checklist!$C$3:$C$149,MATCH($A135,Checklist!$P$3:$P$149,0)))</f>
        <v/>
      </c>
      <c r="C135" s="28" t="str">
        <f>IF($A135="","",INDEX(Checklist!$B$3:$B$149,MATCH($A135,Checklist!$P$3:$P$149,0)))</f>
        <v/>
      </c>
      <c r="D135" s="28" t="str">
        <f>IF($A135="","",IF(INDEX(Checklist!$A$3:$A$149,MATCH($A135,Checklist!$P$3:$P$149,0))=7,IFERROR(LEFT(INDEX(Checklist!$E$3:$E$149,MATCH($A135,Checklist!$P$3:$P$149,0)),FIND(CHAR(10),INDEX(Checklist!$E$3:$E$149,MATCH($A135,Checklist!$P$3:$P$149,0)))-1),INDEX(Checklist!$E$3:$E$149,MATCH($A135,Checklist!$P$3:$P$149,0))),""))</f>
        <v/>
      </c>
      <c r="E135" s="28" t="str">
        <f>IF($A135="","",INDEX(Checklist!$D$3:$D$149,MATCH($A135,Checklist!$P$3:$P$149,0)))</f>
        <v/>
      </c>
      <c r="F135" s="28" t="str">
        <f>IF($A135="","",INDEX(Checklist!$F$3:$F$149,MATCH($A135,Checklist!$P$3:$P$149,0)))</f>
        <v/>
      </c>
      <c r="G135" s="28" t="str">
        <f>IF($A135="","",IF($D135&lt;&gt;"",INDEX(Checklist!$E$3:$E$149,MATCH(LEFT($B135,3),Checklist!$C$3:$C$149,0))&amp;" - "&amp;$D135,INDEX(Checklist!$E$3:$E$149,MATCH($A135,Checklist!$P$3:$P$149,0))))</f>
        <v/>
      </c>
      <c r="H135" s="28" t="str">
        <f>IF($A135="","",INDEX(Checklist!$G$3:$G$149,MATCH($A135,Checklist!$P$3:$P$149,0)))</f>
        <v/>
      </c>
      <c r="I135" s="30" t="str">
        <f>IF($A135="","",INDEX(Checklist!$N$3:$N$149,MATCH($A135,Checklist!$P$3:$P$149,0)))</f>
        <v/>
      </c>
      <c r="J135" s="27"/>
      <c r="K135" s="27"/>
      <c r="L135" s="29"/>
    </row>
    <row r="136" spans="1:12">
      <c r="A136" s="28" t="str">
        <f>IF(ROW()-4&lt;=COUNT(Checklist!$P$3:$P$149),ROW()-4,"")</f>
        <v/>
      </c>
      <c r="B136" s="28" t="str">
        <f>IF($A136="","",INDEX(Checklist!$C$3:$C$149,MATCH($A136,Checklist!$P$3:$P$149,0)))</f>
        <v/>
      </c>
      <c r="C136" s="28" t="str">
        <f>IF($A136="","",INDEX(Checklist!$B$3:$B$149,MATCH($A136,Checklist!$P$3:$P$149,0)))</f>
        <v/>
      </c>
      <c r="D136" s="28" t="str">
        <f>IF($A136="","",IF(INDEX(Checklist!$A$3:$A$149,MATCH($A136,Checklist!$P$3:$P$149,0))=7,IFERROR(LEFT(INDEX(Checklist!$E$3:$E$149,MATCH($A136,Checklist!$P$3:$P$149,0)),FIND(CHAR(10),INDEX(Checklist!$E$3:$E$149,MATCH($A136,Checklist!$P$3:$P$149,0)))-1),INDEX(Checklist!$E$3:$E$149,MATCH($A136,Checklist!$P$3:$P$149,0))),""))</f>
        <v/>
      </c>
      <c r="E136" s="28" t="str">
        <f>IF($A136="","",INDEX(Checklist!$D$3:$D$149,MATCH($A136,Checklist!$P$3:$P$149,0)))</f>
        <v/>
      </c>
      <c r="F136" s="28" t="str">
        <f>IF($A136="","",INDEX(Checklist!$F$3:$F$149,MATCH($A136,Checklist!$P$3:$P$149,0)))</f>
        <v/>
      </c>
      <c r="G136" s="28" t="str">
        <f>IF($A136="","",IF($D136&lt;&gt;"",INDEX(Checklist!$E$3:$E$149,MATCH(LEFT($B136,3),Checklist!$C$3:$C$149,0))&amp;" - "&amp;$D136,INDEX(Checklist!$E$3:$E$149,MATCH($A136,Checklist!$P$3:$P$149,0))))</f>
        <v/>
      </c>
      <c r="H136" s="28" t="str">
        <f>IF($A136="","",INDEX(Checklist!$G$3:$G$149,MATCH($A136,Checklist!$P$3:$P$149,0)))</f>
        <v/>
      </c>
      <c r="I136" s="30" t="str">
        <f>IF($A136="","",INDEX(Checklist!$N$3:$N$149,MATCH($A136,Checklist!$P$3:$P$149,0)))</f>
        <v/>
      </c>
      <c r="J136" s="27"/>
      <c r="K136" s="27"/>
      <c r="L136" s="29"/>
    </row>
    <row r="137" spans="1:12">
      <c r="A137" s="28" t="str">
        <f>IF(ROW()-4&lt;=COUNT(Checklist!$P$3:$P$149),ROW()-4,"")</f>
        <v/>
      </c>
      <c r="B137" s="28" t="str">
        <f>IF($A137="","",INDEX(Checklist!$C$3:$C$149,MATCH($A137,Checklist!$P$3:$P$149,0)))</f>
        <v/>
      </c>
      <c r="C137" s="28" t="str">
        <f>IF($A137="","",INDEX(Checklist!$B$3:$B$149,MATCH($A137,Checklist!$P$3:$P$149,0)))</f>
        <v/>
      </c>
      <c r="D137" s="28" t="str">
        <f>IF($A137="","",IF(INDEX(Checklist!$A$3:$A$149,MATCH($A137,Checklist!$P$3:$P$149,0))=7,IFERROR(LEFT(INDEX(Checklist!$E$3:$E$149,MATCH($A137,Checklist!$P$3:$P$149,0)),FIND(CHAR(10),INDEX(Checklist!$E$3:$E$149,MATCH($A137,Checklist!$P$3:$P$149,0)))-1),INDEX(Checklist!$E$3:$E$149,MATCH($A137,Checklist!$P$3:$P$149,0))),""))</f>
        <v/>
      </c>
      <c r="E137" s="28" t="str">
        <f>IF($A137="","",INDEX(Checklist!$D$3:$D$149,MATCH($A137,Checklist!$P$3:$P$149,0)))</f>
        <v/>
      </c>
      <c r="F137" s="28" t="str">
        <f>IF($A137="","",INDEX(Checklist!$F$3:$F$149,MATCH($A137,Checklist!$P$3:$P$149,0)))</f>
        <v/>
      </c>
      <c r="G137" s="28" t="str">
        <f>IF($A137="","",IF($D137&lt;&gt;"",INDEX(Checklist!$E$3:$E$149,MATCH(LEFT($B137,3),Checklist!$C$3:$C$149,0))&amp;" - "&amp;$D137,INDEX(Checklist!$E$3:$E$149,MATCH($A137,Checklist!$P$3:$P$149,0))))</f>
        <v/>
      </c>
      <c r="H137" s="28" t="str">
        <f>IF($A137="","",INDEX(Checklist!$G$3:$G$149,MATCH($A137,Checklist!$P$3:$P$149,0)))</f>
        <v/>
      </c>
      <c r="I137" s="30" t="str">
        <f>IF($A137="","",INDEX(Checklist!$N$3:$N$149,MATCH($A137,Checklist!$P$3:$P$149,0)))</f>
        <v/>
      </c>
      <c r="J137" s="27"/>
      <c r="K137" s="27"/>
      <c r="L137" s="29"/>
    </row>
    <row r="138" spans="1:12">
      <c r="A138" s="28" t="str">
        <f>IF(ROW()-4&lt;=COUNT(Checklist!$P$3:$P$149),ROW()-4,"")</f>
        <v/>
      </c>
      <c r="B138" s="28" t="str">
        <f>IF($A138="","",INDEX(Checklist!$C$3:$C$149,MATCH($A138,Checklist!$P$3:$P$149,0)))</f>
        <v/>
      </c>
      <c r="C138" s="28" t="str">
        <f>IF($A138="","",INDEX(Checklist!$B$3:$B$149,MATCH($A138,Checklist!$P$3:$P$149,0)))</f>
        <v/>
      </c>
      <c r="D138" s="28" t="str">
        <f>IF($A138="","",IF(INDEX(Checklist!$A$3:$A$149,MATCH($A138,Checklist!$P$3:$P$149,0))=7,IFERROR(LEFT(INDEX(Checklist!$E$3:$E$149,MATCH($A138,Checklist!$P$3:$P$149,0)),FIND(CHAR(10),INDEX(Checklist!$E$3:$E$149,MATCH($A138,Checklist!$P$3:$P$149,0)))-1),INDEX(Checklist!$E$3:$E$149,MATCH($A138,Checklist!$P$3:$P$149,0))),""))</f>
        <v/>
      </c>
      <c r="E138" s="28" t="str">
        <f>IF($A138="","",INDEX(Checklist!$D$3:$D$149,MATCH($A138,Checklist!$P$3:$P$149,0)))</f>
        <v/>
      </c>
      <c r="F138" s="28" t="str">
        <f>IF($A138="","",INDEX(Checklist!$F$3:$F$149,MATCH($A138,Checklist!$P$3:$P$149,0)))</f>
        <v/>
      </c>
      <c r="G138" s="28" t="str">
        <f>IF($A138="","",IF($D138&lt;&gt;"",INDEX(Checklist!$E$3:$E$149,MATCH(LEFT($B138,3),Checklist!$C$3:$C$149,0))&amp;" - "&amp;$D138,INDEX(Checklist!$E$3:$E$149,MATCH($A138,Checklist!$P$3:$P$149,0))))</f>
        <v/>
      </c>
      <c r="H138" s="28" t="str">
        <f>IF($A138="","",INDEX(Checklist!$G$3:$G$149,MATCH($A138,Checklist!$P$3:$P$149,0)))</f>
        <v/>
      </c>
      <c r="I138" s="30" t="str">
        <f>IF($A138="","",INDEX(Checklist!$N$3:$N$149,MATCH($A138,Checklist!$P$3:$P$149,0)))</f>
        <v/>
      </c>
      <c r="J138" s="27"/>
      <c r="K138" s="27"/>
      <c r="L138" s="29"/>
    </row>
    <row r="139" spans="1:12">
      <c r="A139" s="28" t="str">
        <f>IF(ROW()-4&lt;=COUNT(Checklist!$P$3:$P$149),ROW()-4,"")</f>
        <v/>
      </c>
      <c r="B139" s="28" t="str">
        <f>IF($A139="","",INDEX(Checklist!$C$3:$C$149,MATCH($A139,Checklist!$P$3:$P$149,0)))</f>
        <v/>
      </c>
      <c r="C139" s="28" t="str">
        <f>IF($A139="","",INDEX(Checklist!$B$3:$B$149,MATCH($A139,Checklist!$P$3:$P$149,0)))</f>
        <v/>
      </c>
      <c r="D139" s="28" t="str">
        <f>IF($A139="","",IF(INDEX(Checklist!$A$3:$A$149,MATCH($A139,Checklist!$P$3:$P$149,0))=7,IFERROR(LEFT(INDEX(Checklist!$E$3:$E$149,MATCH($A139,Checklist!$P$3:$P$149,0)),FIND(CHAR(10),INDEX(Checklist!$E$3:$E$149,MATCH($A139,Checklist!$P$3:$P$149,0)))-1),INDEX(Checklist!$E$3:$E$149,MATCH($A139,Checklist!$P$3:$P$149,0))),""))</f>
        <v/>
      </c>
      <c r="E139" s="28" t="str">
        <f>IF($A139="","",INDEX(Checklist!$D$3:$D$149,MATCH($A139,Checklist!$P$3:$P$149,0)))</f>
        <v/>
      </c>
      <c r="F139" s="28" t="str">
        <f>IF($A139="","",INDEX(Checklist!$F$3:$F$149,MATCH($A139,Checklist!$P$3:$P$149,0)))</f>
        <v/>
      </c>
      <c r="G139" s="28" t="str">
        <f>IF($A139="","",IF($D139&lt;&gt;"",INDEX(Checklist!$E$3:$E$149,MATCH(LEFT($B139,3),Checklist!$C$3:$C$149,0))&amp;" - "&amp;$D139,INDEX(Checklist!$E$3:$E$149,MATCH($A139,Checklist!$P$3:$P$149,0))))</f>
        <v/>
      </c>
      <c r="H139" s="28" t="str">
        <f>IF($A139="","",INDEX(Checklist!$G$3:$G$149,MATCH($A139,Checklist!$P$3:$P$149,0)))</f>
        <v/>
      </c>
      <c r="I139" s="30" t="str">
        <f>IF($A139="","",INDEX(Checklist!$N$3:$N$149,MATCH($A139,Checklist!$P$3:$P$149,0)))</f>
        <v/>
      </c>
      <c r="J139" s="27"/>
      <c r="K139" s="27"/>
      <c r="L139" s="29"/>
    </row>
    <row r="140" spans="1:12">
      <c r="A140" s="28" t="str">
        <f>IF(ROW()-4&lt;=COUNT(Checklist!$P$3:$P$149),ROW()-4,"")</f>
        <v/>
      </c>
      <c r="B140" s="28" t="str">
        <f>IF($A140="","",INDEX(Checklist!$C$3:$C$149,MATCH($A140,Checklist!$P$3:$P$149,0)))</f>
        <v/>
      </c>
      <c r="C140" s="28" t="str">
        <f>IF($A140="","",INDEX(Checklist!$B$3:$B$149,MATCH($A140,Checklist!$P$3:$P$149,0)))</f>
        <v/>
      </c>
      <c r="D140" s="28" t="str">
        <f>IF($A140="","",IF(INDEX(Checklist!$A$3:$A$149,MATCH($A140,Checklist!$P$3:$P$149,0))=7,IFERROR(LEFT(INDEX(Checklist!$E$3:$E$149,MATCH($A140,Checklist!$P$3:$P$149,0)),FIND(CHAR(10),INDEX(Checklist!$E$3:$E$149,MATCH($A140,Checklist!$P$3:$P$149,0)))-1),INDEX(Checklist!$E$3:$E$149,MATCH($A140,Checklist!$P$3:$P$149,0))),""))</f>
        <v/>
      </c>
      <c r="E140" s="28" t="str">
        <f>IF($A140="","",INDEX(Checklist!$D$3:$D$149,MATCH($A140,Checklist!$P$3:$P$149,0)))</f>
        <v/>
      </c>
      <c r="F140" s="28" t="str">
        <f>IF($A140="","",INDEX(Checklist!$F$3:$F$149,MATCH($A140,Checklist!$P$3:$P$149,0)))</f>
        <v/>
      </c>
      <c r="G140" s="28" t="str">
        <f>IF($A140="","",IF($D140&lt;&gt;"",INDEX(Checklist!$E$3:$E$149,MATCH(LEFT($B140,3),Checklist!$C$3:$C$149,0))&amp;" - "&amp;$D140,INDEX(Checklist!$E$3:$E$149,MATCH($A140,Checklist!$P$3:$P$149,0))))</f>
        <v/>
      </c>
      <c r="H140" s="28" t="str">
        <f>IF($A140="","",INDEX(Checklist!$G$3:$G$149,MATCH($A140,Checklist!$P$3:$P$149,0)))</f>
        <v/>
      </c>
      <c r="I140" s="30" t="str">
        <f>IF($A140="","",INDEX(Checklist!$N$3:$N$149,MATCH($A140,Checklist!$P$3:$P$149,0)))</f>
        <v/>
      </c>
      <c r="J140" s="27"/>
      <c r="K140" s="27"/>
      <c r="L140" s="29"/>
    </row>
    <row r="141" spans="1:12">
      <c r="A141" s="28" t="str">
        <f>IF(ROW()-4&lt;=COUNT(Checklist!$P$3:$P$149),ROW()-4,"")</f>
        <v/>
      </c>
      <c r="B141" s="28" t="str">
        <f>IF($A141="","",INDEX(Checklist!$C$3:$C$149,MATCH($A141,Checklist!$P$3:$P$149,0)))</f>
        <v/>
      </c>
      <c r="C141" s="28" t="str">
        <f>IF($A141="","",INDEX(Checklist!$B$3:$B$149,MATCH($A141,Checklist!$P$3:$P$149,0)))</f>
        <v/>
      </c>
      <c r="D141" s="28" t="str">
        <f>IF($A141="","",IF(INDEX(Checklist!$A$3:$A$149,MATCH($A141,Checklist!$P$3:$P$149,0))=7,IFERROR(LEFT(INDEX(Checklist!$E$3:$E$149,MATCH($A141,Checklist!$P$3:$P$149,0)),FIND(CHAR(10),INDEX(Checklist!$E$3:$E$149,MATCH($A141,Checklist!$P$3:$P$149,0)))-1),INDEX(Checklist!$E$3:$E$149,MATCH($A141,Checklist!$P$3:$P$149,0))),""))</f>
        <v/>
      </c>
      <c r="E141" s="28" t="str">
        <f>IF($A141="","",INDEX(Checklist!$D$3:$D$149,MATCH($A141,Checklist!$P$3:$P$149,0)))</f>
        <v/>
      </c>
      <c r="F141" s="28" t="str">
        <f>IF($A141="","",INDEX(Checklist!$F$3:$F$149,MATCH($A141,Checklist!$P$3:$P$149,0)))</f>
        <v/>
      </c>
      <c r="G141" s="28" t="str">
        <f>IF($A141="","",IF($D141&lt;&gt;"",INDEX(Checklist!$E$3:$E$149,MATCH(LEFT($B141,3),Checklist!$C$3:$C$149,0))&amp;" - "&amp;$D141,INDEX(Checklist!$E$3:$E$149,MATCH($A141,Checklist!$P$3:$P$149,0))))</f>
        <v/>
      </c>
      <c r="H141" s="28" t="str">
        <f>IF($A141="","",INDEX(Checklist!$G$3:$G$149,MATCH($A141,Checklist!$P$3:$P$149,0)))</f>
        <v/>
      </c>
      <c r="I141" s="30" t="str">
        <f>IF($A141="","",INDEX(Checklist!$N$3:$N$149,MATCH($A141,Checklist!$P$3:$P$149,0)))</f>
        <v/>
      </c>
      <c r="J141" s="27"/>
      <c r="K141" s="27"/>
      <c r="L141" s="29"/>
    </row>
    <row r="142" spans="1:12">
      <c r="A142" s="28" t="str">
        <f>IF(ROW()-4&lt;=COUNT(Checklist!$P$3:$P$149),ROW()-4,"")</f>
        <v/>
      </c>
      <c r="B142" s="28" t="str">
        <f>IF($A142="","",INDEX(Checklist!$C$3:$C$149,MATCH($A142,Checklist!$P$3:$P$149,0)))</f>
        <v/>
      </c>
      <c r="C142" s="28" t="str">
        <f>IF($A142="","",INDEX(Checklist!$B$3:$B$149,MATCH($A142,Checklist!$P$3:$P$149,0)))</f>
        <v/>
      </c>
      <c r="D142" s="28" t="str">
        <f>IF($A142="","",IF(INDEX(Checklist!$A$3:$A$149,MATCH($A142,Checklist!$P$3:$P$149,0))=7,IFERROR(LEFT(INDEX(Checklist!$E$3:$E$149,MATCH($A142,Checklist!$P$3:$P$149,0)),FIND(CHAR(10),INDEX(Checklist!$E$3:$E$149,MATCH($A142,Checklist!$P$3:$P$149,0)))-1),INDEX(Checklist!$E$3:$E$149,MATCH($A142,Checklist!$P$3:$P$149,0))),""))</f>
        <v/>
      </c>
      <c r="E142" s="28" t="str">
        <f>IF($A142="","",INDEX(Checklist!$D$3:$D$149,MATCH($A142,Checklist!$P$3:$P$149,0)))</f>
        <v/>
      </c>
      <c r="F142" s="28" t="str">
        <f>IF($A142="","",INDEX(Checklist!$F$3:$F$149,MATCH($A142,Checklist!$P$3:$P$149,0)))</f>
        <v/>
      </c>
      <c r="G142" s="28" t="str">
        <f>IF($A142="","",IF($D142&lt;&gt;"",INDEX(Checklist!$E$3:$E$149,MATCH(LEFT($B142,3),Checklist!$C$3:$C$149,0))&amp;" - "&amp;$D142,INDEX(Checklist!$E$3:$E$149,MATCH($A142,Checklist!$P$3:$P$149,0))))</f>
        <v/>
      </c>
      <c r="H142" s="28" t="str">
        <f>IF($A142="","",INDEX(Checklist!$G$3:$G$149,MATCH($A142,Checklist!$P$3:$P$149,0)))</f>
        <v/>
      </c>
      <c r="I142" s="30" t="str">
        <f>IF($A142="","",INDEX(Checklist!$N$3:$N$149,MATCH($A142,Checklist!$P$3:$P$149,0)))</f>
        <v/>
      </c>
      <c r="J142" s="27"/>
      <c r="K142" s="27"/>
      <c r="L142" s="29"/>
    </row>
    <row r="143" spans="1:12">
      <c r="A143" s="28" t="str">
        <f>IF(ROW()-4&lt;=COUNT(Checklist!$P$3:$P$149),ROW()-4,"")</f>
        <v/>
      </c>
      <c r="B143" s="28" t="str">
        <f>IF($A143="","",INDEX(Checklist!$C$3:$C$149,MATCH($A143,Checklist!$P$3:$P$149,0)))</f>
        <v/>
      </c>
      <c r="C143" s="28" t="str">
        <f>IF($A143="","",INDEX(Checklist!$B$3:$B$149,MATCH($A143,Checklist!$P$3:$P$149,0)))</f>
        <v/>
      </c>
      <c r="D143" s="28" t="str">
        <f>IF($A143="","",IF(INDEX(Checklist!$A$3:$A$149,MATCH($A143,Checklist!$P$3:$P$149,0))=7,IFERROR(LEFT(INDEX(Checklist!$E$3:$E$149,MATCH($A143,Checklist!$P$3:$P$149,0)),FIND(CHAR(10),INDEX(Checklist!$E$3:$E$149,MATCH($A143,Checklist!$P$3:$P$149,0)))-1),INDEX(Checklist!$E$3:$E$149,MATCH($A143,Checklist!$P$3:$P$149,0))),""))</f>
        <v/>
      </c>
      <c r="E143" s="28" t="str">
        <f>IF($A143="","",INDEX(Checklist!$D$3:$D$149,MATCH($A143,Checklist!$P$3:$P$149,0)))</f>
        <v/>
      </c>
      <c r="F143" s="28" t="str">
        <f>IF($A143="","",INDEX(Checklist!$F$3:$F$149,MATCH($A143,Checklist!$P$3:$P$149,0)))</f>
        <v/>
      </c>
      <c r="G143" s="28" t="str">
        <f>IF($A143="","",IF($D143&lt;&gt;"",INDEX(Checklist!$E$3:$E$149,MATCH(LEFT($B143,3),Checklist!$C$3:$C$149,0))&amp;" - "&amp;$D143,INDEX(Checklist!$E$3:$E$149,MATCH($A143,Checklist!$P$3:$P$149,0))))</f>
        <v/>
      </c>
      <c r="H143" s="28" t="str">
        <f>IF($A143="","",INDEX(Checklist!$G$3:$G$149,MATCH($A143,Checklist!$P$3:$P$149,0)))</f>
        <v/>
      </c>
      <c r="I143" s="30" t="str">
        <f>IF($A143="","",INDEX(Checklist!$N$3:$N$149,MATCH($A143,Checklist!$P$3:$P$149,0)))</f>
        <v/>
      </c>
      <c r="J143" s="27"/>
      <c r="K143" s="27"/>
      <c r="L143" s="29"/>
    </row>
    <row r="144" spans="1:12">
      <c r="A144" s="28" t="str">
        <f>IF(ROW()-4&lt;=COUNT(Checklist!$P$3:$P$149),ROW()-4,"")</f>
        <v/>
      </c>
      <c r="B144" s="28" t="str">
        <f>IF($A144="","",INDEX(Checklist!$C$3:$C$149,MATCH($A144,Checklist!$P$3:$P$149,0)))</f>
        <v/>
      </c>
      <c r="C144" s="28" t="str">
        <f>IF($A144="","",INDEX(Checklist!$B$3:$B$149,MATCH($A144,Checklist!$P$3:$P$149,0)))</f>
        <v/>
      </c>
      <c r="D144" s="28" t="str">
        <f>IF($A144="","",IF(INDEX(Checklist!$A$3:$A$149,MATCH($A144,Checklist!$P$3:$P$149,0))=7,IFERROR(LEFT(INDEX(Checklist!$E$3:$E$149,MATCH($A144,Checklist!$P$3:$P$149,0)),FIND(CHAR(10),INDEX(Checklist!$E$3:$E$149,MATCH($A144,Checklist!$P$3:$P$149,0)))-1),INDEX(Checklist!$E$3:$E$149,MATCH($A144,Checklist!$P$3:$P$149,0))),""))</f>
        <v/>
      </c>
      <c r="E144" s="28" t="str">
        <f>IF($A144="","",INDEX(Checklist!$D$3:$D$149,MATCH($A144,Checklist!$P$3:$P$149,0)))</f>
        <v/>
      </c>
      <c r="F144" s="28" t="str">
        <f>IF($A144="","",INDEX(Checklist!$F$3:$F$149,MATCH($A144,Checklist!$P$3:$P$149,0)))</f>
        <v/>
      </c>
      <c r="G144" s="28" t="str">
        <f>IF($A144="","",IF($D144&lt;&gt;"",INDEX(Checklist!$E$3:$E$149,MATCH(LEFT($B144,3),Checklist!$C$3:$C$149,0))&amp;" - "&amp;$D144,INDEX(Checklist!$E$3:$E$149,MATCH($A144,Checklist!$P$3:$P$149,0))))</f>
        <v/>
      </c>
      <c r="H144" s="28" t="str">
        <f>IF($A144="","",INDEX(Checklist!$G$3:$G$149,MATCH($A144,Checklist!$P$3:$P$149,0)))</f>
        <v/>
      </c>
      <c r="I144" s="30" t="str">
        <f>IF($A144="","",INDEX(Checklist!$N$3:$N$149,MATCH($A144,Checklist!$P$3:$P$149,0)))</f>
        <v/>
      </c>
      <c r="J144" s="27"/>
      <c r="K144" s="27"/>
      <c r="L144" s="29"/>
    </row>
    <row r="145" spans="1:12">
      <c r="A145" s="28" t="str">
        <f>IF(ROW()-4&lt;=COUNT(Checklist!$P$3:$P$149),ROW()-4,"")</f>
        <v/>
      </c>
      <c r="B145" s="28" t="str">
        <f>IF($A145="","",INDEX(Checklist!$C$3:$C$149,MATCH($A145,Checklist!$P$3:$P$149,0)))</f>
        <v/>
      </c>
      <c r="C145" s="28" t="str">
        <f>IF($A145="","",INDEX(Checklist!$B$3:$B$149,MATCH($A145,Checklist!$P$3:$P$149,0)))</f>
        <v/>
      </c>
      <c r="D145" s="28" t="str">
        <f>IF($A145="","",IF(INDEX(Checklist!$A$3:$A$149,MATCH($A145,Checklist!$P$3:$P$149,0))=7,IFERROR(LEFT(INDEX(Checklist!$E$3:$E$149,MATCH($A145,Checklist!$P$3:$P$149,0)),FIND(CHAR(10),INDEX(Checklist!$E$3:$E$149,MATCH($A145,Checklist!$P$3:$P$149,0)))-1),INDEX(Checklist!$E$3:$E$149,MATCH($A145,Checklist!$P$3:$P$149,0))),""))</f>
        <v/>
      </c>
      <c r="E145" s="28" t="str">
        <f>IF($A145="","",INDEX(Checklist!$D$3:$D$149,MATCH($A145,Checklist!$P$3:$P$149,0)))</f>
        <v/>
      </c>
      <c r="F145" s="28" t="str">
        <f>IF($A145="","",INDEX(Checklist!$F$3:$F$149,MATCH($A145,Checklist!$P$3:$P$149,0)))</f>
        <v/>
      </c>
      <c r="G145" s="28" t="str">
        <f>IF($A145="","",IF($D145&lt;&gt;"",INDEX(Checklist!$E$3:$E$149,MATCH(LEFT($B145,3),Checklist!$C$3:$C$149,0))&amp;" - "&amp;$D145,INDEX(Checklist!$E$3:$E$149,MATCH($A145,Checklist!$P$3:$P$149,0))))</f>
        <v/>
      </c>
      <c r="H145" s="28" t="str">
        <f>IF($A145="","",INDEX(Checklist!$G$3:$G$149,MATCH($A145,Checklist!$P$3:$P$149,0)))</f>
        <v/>
      </c>
      <c r="I145" s="30" t="str">
        <f>IF($A145="","",INDEX(Checklist!$N$3:$N$149,MATCH($A145,Checklist!$P$3:$P$149,0)))</f>
        <v/>
      </c>
      <c r="J145" s="27"/>
      <c r="K145" s="27"/>
      <c r="L145" s="29"/>
    </row>
  </sheetData>
  <mergeCells count="4">
    <mergeCell ref="A1:L1"/>
    <mergeCell ref="A2:L2"/>
    <mergeCell ref="A3:I3"/>
    <mergeCell ref="J3:L3"/>
  </mergeCells>
  <conditionalFormatting sqref="E5:E145">
    <cfRule type="containsText" dxfId="14" priority="3" operator="containsText" text="P1"/>
    <cfRule type="expression" dxfId="13" priority="16">
      <formula>$E5="P1"</formula>
    </cfRule>
    <cfRule type="expression" dxfId="12" priority="17">
      <formula>$E5="P2"</formula>
    </cfRule>
    <cfRule type="expression" dxfId="11" priority="18">
      <formula>$E5="P3"</formula>
    </cfRule>
    <cfRule type="expression" dxfId="10" priority="27">
      <formula>$E5="P1"</formula>
    </cfRule>
    <cfRule type="expression" dxfId="9" priority="28">
      <formula>$E5="P2"</formula>
    </cfRule>
    <cfRule type="expression" dxfId="8" priority="29">
      <formula>$E5="P3"</formula>
    </cfRule>
  </conditionalFormatting>
  <conditionalFormatting sqref="F5:F145">
    <cfRule type="containsText" dxfId="7" priority="4" operator="containsText" text="No"/>
    <cfRule type="containsText" dxfId="6" priority="5" operator="containsText" text="Partial"/>
    <cfRule type="expression" dxfId="5" priority="19">
      <formula>$F5="No"</formula>
    </cfRule>
    <cfRule type="expression" dxfId="4" priority="20">
      <formula>$F5="Partial"</formula>
    </cfRule>
    <cfRule type="expression" dxfId="3" priority="30">
      <formula>$F5="No"</formula>
    </cfRule>
    <cfRule type="expression" dxfId="2" priority="31">
      <formula>$F5="Partial"</formula>
    </cfRule>
  </conditionalFormatting>
  <conditionalFormatting sqref="L5:L145">
    <cfRule type="expression" dxfId="1" priority="80">
      <formula>AND($L5&lt;TODAY(),$L5&lt;&gt;"",#REF!&lt;&gt;"Complete",#REF!&lt;&gt;"Verified")</formula>
    </cfRule>
    <cfRule type="expression" dxfId="0" priority="81">
      <formula>AND($L5&lt;TODAY(),$L5&lt;&gt;"",#REF!&lt;&gt;"Complete",#REF!&lt;&gt;"Verified")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workbookViewId="0">
      <selection activeCell="F42" sqref="F42"/>
    </sheetView>
  </sheetViews>
  <sheetFormatPr defaultRowHeight="14.25"/>
  <cols>
    <col min="1" max="1" width="16" customWidth="1"/>
    <col min="2" max="2" width="10" customWidth="1"/>
    <col min="3" max="3" width="16" customWidth="1"/>
    <col min="4" max="4" width="12" customWidth="1"/>
    <col min="5" max="5" width="14" customWidth="1"/>
    <col min="6" max="6" width="16" customWidth="1"/>
    <col min="7" max="7" width="14" customWidth="1"/>
    <col min="8" max="8" width="16" customWidth="1"/>
    <col min="9" max="9" width="30" customWidth="1"/>
    <col min="10" max="10" width="24" customWidth="1"/>
    <col min="11" max="11" width="12" customWidth="1"/>
  </cols>
  <sheetData>
    <row r="1" spans="1:11" ht="32.1" customHeight="1">
      <c r="A1" s="9" t="s">
        <v>585</v>
      </c>
      <c r="B1" s="9" t="s">
        <v>127</v>
      </c>
      <c r="C1" s="9" t="s">
        <v>162</v>
      </c>
      <c r="D1" s="9" t="s">
        <v>164</v>
      </c>
      <c r="E1" s="9" t="s">
        <v>586</v>
      </c>
      <c r="F1" s="9" t="s">
        <v>587</v>
      </c>
      <c r="G1" s="9" t="s">
        <v>588</v>
      </c>
      <c r="H1" s="9" t="s">
        <v>589</v>
      </c>
      <c r="I1" s="9" t="s">
        <v>590</v>
      </c>
      <c r="J1" s="9" t="s">
        <v>88</v>
      </c>
      <c r="K1" s="9" t="s">
        <v>591</v>
      </c>
    </row>
    <row r="2" spans="1:11">
      <c r="A2" s="10" t="s">
        <v>223</v>
      </c>
      <c r="B2" s="10" t="s">
        <v>134</v>
      </c>
      <c r="C2" s="10" t="s">
        <v>592</v>
      </c>
      <c r="D2" s="10" t="s">
        <v>593</v>
      </c>
      <c r="E2" s="10" t="s">
        <v>223</v>
      </c>
      <c r="F2" s="10" t="s">
        <v>594</v>
      </c>
      <c r="G2" s="10" t="s">
        <v>595</v>
      </c>
      <c r="H2" s="10" t="s">
        <v>596</v>
      </c>
      <c r="I2" s="10" t="s">
        <v>391</v>
      </c>
      <c r="J2" s="10" t="s">
        <v>112</v>
      </c>
      <c r="K2" s="11">
        <v>0</v>
      </c>
    </row>
    <row r="3" spans="1:11">
      <c r="A3" s="10" t="s">
        <v>224</v>
      </c>
      <c r="B3" s="10" t="s">
        <v>141</v>
      </c>
      <c r="C3" s="10" t="s">
        <v>597</v>
      </c>
      <c r="D3" s="10" t="s">
        <v>598</v>
      </c>
      <c r="E3" s="10" t="s">
        <v>225</v>
      </c>
      <c r="F3" s="10" t="s">
        <v>599</v>
      </c>
      <c r="G3" s="10" t="s">
        <v>224</v>
      </c>
      <c r="H3" s="10" t="s">
        <v>600</v>
      </c>
      <c r="I3" s="10" t="s">
        <v>393</v>
      </c>
      <c r="J3" s="10" t="s">
        <v>107</v>
      </c>
      <c r="K3" s="11">
        <v>0.6</v>
      </c>
    </row>
    <row r="4" spans="1:11">
      <c r="A4" s="10" t="s">
        <v>225</v>
      </c>
      <c r="B4" s="10" t="s">
        <v>148</v>
      </c>
      <c r="C4" s="10" t="s">
        <v>601</v>
      </c>
      <c r="D4" s="10" t="s">
        <v>602</v>
      </c>
      <c r="E4" s="10" t="s">
        <v>226</v>
      </c>
      <c r="F4" s="10" t="s">
        <v>603</v>
      </c>
      <c r="G4" s="10" t="s">
        <v>227</v>
      </c>
      <c r="H4" s="10" t="s">
        <v>604</v>
      </c>
      <c r="I4" s="10" t="s">
        <v>395</v>
      </c>
      <c r="J4" s="10" t="s">
        <v>102</v>
      </c>
      <c r="K4" s="11">
        <v>0.8</v>
      </c>
    </row>
    <row r="5" spans="1:11">
      <c r="A5" s="10" t="s">
        <v>226</v>
      </c>
      <c r="B5" s="10"/>
      <c r="C5" s="10" t="s">
        <v>605</v>
      </c>
      <c r="D5" s="10" t="s">
        <v>606</v>
      </c>
      <c r="E5" s="10"/>
      <c r="F5" s="10" t="s">
        <v>607</v>
      </c>
      <c r="G5" s="10" t="s">
        <v>226</v>
      </c>
      <c r="H5" s="10" t="s">
        <v>608</v>
      </c>
      <c r="I5" s="10" t="s">
        <v>397</v>
      </c>
      <c r="J5" s="10" t="s">
        <v>95</v>
      </c>
      <c r="K5" s="11">
        <v>0.9</v>
      </c>
    </row>
    <row r="6" spans="1:11">
      <c r="A6" s="10"/>
      <c r="B6" s="10"/>
      <c r="C6" s="10"/>
      <c r="D6" s="10"/>
      <c r="E6" s="10"/>
      <c r="F6" s="10" t="s">
        <v>609</v>
      </c>
      <c r="G6" s="10"/>
      <c r="H6" s="10" t="s">
        <v>610</v>
      </c>
      <c r="I6" s="10" t="s">
        <v>399</v>
      </c>
      <c r="J6" s="10"/>
      <c r="K6" s="10"/>
    </row>
    <row r="7" spans="1:11">
      <c r="A7" s="10"/>
      <c r="B7" s="10"/>
      <c r="C7" s="10"/>
      <c r="D7" s="10"/>
      <c r="E7" s="10"/>
      <c r="F7" s="10"/>
      <c r="G7" s="10"/>
      <c r="H7" s="10" t="s">
        <v>611</v>
      </c>
      <c r="I7" s="10" t="s">
        <v>401</v>
      </c>
      <c r="J7" s="10"/>
      <c r="K7" s="10"/>
    </row>
    <row r="8" spans="1:11">
      <c r="A8" s="10"/>
      <c r="B8" s="10"/>
      <c r="C8" s="10"/>
      <c r="D8" s="10"/>
      <c r="E8" s="10"/>
      <c r="F8" s="10"/>
      <c r="G8" s="10"/>
      <c r="H8" s="10" t="s">
        <v>612</v>
      </c>
      <c r="I8" s="10"/>
      <c r="J8" s="10"/>
      <c r="K8" s="10"/>
    </row>
    <row r="9" spans="1:11">
      <c r="A9" s="10"/>
      <c r="B9" s="10"/>
      <c r="C9" s="10"/>
      <c r="D9" s="10"/>
      <c r="E9" s="10"/>
      <c r="F9" s="10"/>
      <c r="G9" s="10"/>
      <c r="H9" s="10" t="s">
        <v>613</v>
      </c>
      <c r="I9" s="10"/>
      <c r="J9" s="10"/>
      <c r="K9" s="10"/>
    </row>
    <row r="10" spans="1:11">
      <c r="A10" s="10"/>
      <c r="B10" s="10"/>
      <c r="C10" s="10"/>
      <c r="D10" s="10"/>
      <c r="E10" s="10"/>
      <c r="F10" s="10"/>
      <c r="G10" s="10"/>
      <c r="H10" s="10" t="s">
        <v>614</v>
      </c>
      <c r="I10" s="10"/>
      <c r="J10" s="10"/>
      <c r="K10" s="10"/>
    </row>
    <row r="11" spans="1:11">
      <c r="A11" s="10"/>
      <c r="B11" s="10"/>
      <c r="C11" s="10"/>
      <c r="D11" s="10"/>
      <c r="E11" s="10"/>
      <c r="F11" s="10"/>
      <c r="G11" s="10"/>
      <c r="H11" s="10" t="s">
        <v>615</v>
      </c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SOP</vt:lpstr>
      <vt:lpstr>Facility_Profile</vt:lpstr>
      <vt:lpstr>Checklist</vt:lpstr>
      <vt:lpstr>Readiness_Dashboard</vt:lpstr>
      <vt:lpstr>Staff_Training</vt:lpstr>
      <vt:lpstr>Tracer_Commodities</vt:lpstr>
      <vt:lpstr>Action_Plan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Ayukotabe, Tabiayuk (CDC/GHC/DGHT)</cp:lastModifiedBy>
  <dcterms:created xsi:type="dcterms:W3CDTF">2026-09-30T14:17:41Z</dcterms:created>
  <dcterms:modified xsi:type="dcterms:W3CDTF">2026-10-08T15:44:46Z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2026-09-30T13:32:29Z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07337dd7-7dec-469b-9a7d-95163bbbfc66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